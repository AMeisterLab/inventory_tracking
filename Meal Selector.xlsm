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slicers/slicer1.xml" ContentType="application/vnd.ms-excel.slicer+xml"/>
  <Override PartName="/xl/drawings/drawing4.xml" ContentType="application/vnd.openxmlformats-officedocument.drawing+xml"/>
  <Override PartName="/xl/ctrlProps/ctrlProp6.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Alyson\Documents\DBX Meal Selector\"/>
    </mc:Choice>
  </mc:AlternateContent>
  <xr:revisionPtr revIDLastSave="0" documentId="13_ncr:1_{C7A6C1D6-8223-4384-AE02-622E2027172E}" xr6:coauthVersionLast="47" xr6:coauthVersionMax="47" xr10:uidLastSave="{00000000-0000-0000-0000-000000000000}"/>
  <bookViews>
    <workbookView xWindow="-108" yWindow="-108" windowWidth="23256" windowHeight="12456" firstSheet="1" activeTab="2" xr2:uid="{DDA14807-E851-48D3-9D07-16A29330048A}"/>
  </bookViews>
  <sheets>
    <sheet name="Current Inventory" sheetId="2" state="hidden" r:id="rId1"/>
    <sheet name="Instructions" sheetId="5" r:id="rId2"/>
    <sheet name="Meal Selector" sheetId="1" r:id="rId3"/>
    <sheet name="Inventory" sheetId="4" r:id="rId4"/>
    <sheet name="Client List" sheetId="3" r:id="rId5"/>
    <sheet name="Volunteers" sheetId="6" r:id="rId6"/>
  </sheets>
  <definedNames>
    <definedName name="_xlnm._FilterDatabase" localSheetId="4" hidden="1">'Client List'!$A$1:$D$36</definedName>
    <definedName name="_xleta.SUM" hidden="1" xlm="1">#NAME?</definedName>
    <definedName name="_xleta.T" hidden="1" xlm="1">#NAME?</definedName>
    <definedName name="Slicer_Day">#N/A</definedName>
    <definedName name="Slicer_Driver">#N/A</definedName>
  </definedNames>
  <calcPr calcId="191028"/>
  <pivotCaches>
    <pivotCache cacheId="0" r:id="rId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1" l="1"/>
  <c r="F3" i="1"/>
  <c r="F4" i="1" s="1"/>
  <c r="Q8" i="1" l="1"/>
  <c r="Q9" i="1"/>
  <c r="Q10" i="1"/>
  <c r="Q11" i="1"/>
  <c r="Q12" i="1"/>
  <c r="Q13" i="1"/>
  <c r="Q14" i="1"/>
  <c r="Q15" i="1"/>
  <c r="Q16" i="1"/>
  <c r="Q17" i="1"/>
  <c r="Q18" i="1"/>
  <c r="Q19" i="1"/>
  <c r="Q20" i="1"/>
  <c r="Q21" i="1"/>
  <c r="Q22" i="1"/>
  <c r="Q23" i="1"/>
  <c r="Q24" i="1"/>
  <c r="Q25" i="1"/>
  <c r="Q26" i="1"/>
  <c r="Q27" i="1"/>
  <c r="Q28" i="1"/>
  <c r="G6" i="1" l="1"/>
  <c r="G3" i="1"/>
  <c r="G4" i="1" s="1"/>
  <c r="H6" i="1"/>
  <c r="H3" i="1"/>
  <c r="H4" i="1" s="1"/>
  <c r="I6" i="1"/>
  <c r="I3" i="1"/>
  <c r="I4" i="1" s="1"/>
  <c r="J6" i="1" l="1"/>
  <c r="J3" i="1"/>
  <c r="J4" i="1" s="1"/>
  <c r="K6" i="1"/>
  <c r="K3" i="1"/>
  <c r="K4" i="1" s="1"/>
  <c r="P28" i="1"/>
  <c r="L6" i="1"/>
  <c r="L3" i="1"/>
  <c r="L4" i="1" s="1"/>
  <c r="M6" i="1"/>
  <c r="M3" i="1"/>
  <c r="M4" i="1" s="1"/>
  <c r="N6" i="1"/>
  <c r="N3" i="1"/>
  <c r="N4" i="1" s="1"/>
  <c r="E6" i="1"/>
  <c r="E3" i="1"/>
  <c r="E4" i="1" s="1"/>
  <c r="P10" i="1"/>
  <c r="P11" i="1"/>
  <c r="P12" i="1"/>
  <c r="P16" i="1"/>
  <c r="P17" i="1"/>
  <c r="P18" i="1"/>
  <c r="P20" i="1"/>
  <c r="P21" i="1"/>
  <c r="P22" i="1"/>
  <c r="O6" i="1"/>
  <c r="O3" i="1"/>
  <c r="O4" i="1" s="1"/>
  <c r="P27" i="1"/>
  <c r="P26" i="1"/>
  <c r="P25" i="1"/>
  <c r="P24" i="1"/>
  <c r="P8" i="1"/>
  <c r="P9" i="1"/>
  <c r="P13" i="1"/>
  <c r="P14" i="1"/>
  <c r="P15" i="1"/>
  <c r="P19" i="1"/>
  <c r="P23" i="1"/>
  <c r="D3" i="1" l="1"/>
  <c r="D2" i="1"/>
  <c r="B23" i="2"/>
  <c r="D6" i="1" l="1"/>
  <c r="D4" i="1"/>
</calcChain>
</file>

<file path=xl/sharedStrings.xml><?xml version="1.0" encoding="utf-8"?>
<sst xmlns="http://schemas.openxmlformats.org/spreadsheetml/2006/main" count="269" uniqueCount="140">
  <si>
    <t>Meal</t>
  </si>
  <si>
    <t>Quantity</t>
  </si>
  <si>
    <t>Chicken Tortilla Soup (Tomato)</t>
  </si>
  <si>
    <t>F1</t>
  </si>
  <si>
    <t>Row Labels</t>
  </si>
  <si>
    <t>Sum of Quantity</t>
  </si>
  <si>
    <t>Bratwurst (Dairy)</t>
  </si>
  <si>
    <t>F2</t>
  </si>
  <si>
    <t>Chicken Fajitas (Bell Pepper)</t>
  </si>
  <si>
    <t>Beef Lasagna (Tomato, Dairy)</t>
  </si>
  <si>
    <t>F3</t>
  </si>
  <si>
    <t>F4</t>
  </si>
  <si>
    <t>Meatloaf (Tomato)</t>
  </si>
  <si>
    <t>Grand Total</t>
  </si>
  <si>
    <t xml:space="preserve">Beef Pie (Gluten) </t>
  </si>
  <si>
    <t>Pork Loin with Couscous (Dairy)</t>
  </si>
  <si>
    <t>Gumbo with Chicken, Shrimp, and Sausage (Tomato, Pork, Shellfish)</t>
  </si>
  <si>
    <t>Beef and Cabbage (Tomato)</t>
  </si>
  <si>
    <t>Veggie Lentil Soup (Leafy Greens)</t>
  </si>
  <si>
    <t>Hawaiian Teriyaki Chicken Mac n Cheese (Dairy)</t>
  </si>
  <si>
    <t>Beef and Bean Chili (Dairy)</t>
  </si>
  <si>
    <t>Pesto Raviolis w Beef and Cheese (Nuts, Dairy)</t>
  </si>
  <si>
    <t>Total</t>
  </si>
  <si>
    <t>Inventory</t>
  </si>
  <si>
    <t>Start Quantity</t>
  </si>
  <si>
    <t>Pulled</t>
  </si>
  <si>
    <t>End Quantity</t>
  </si>
  <si>
    <t>Filtered Total</t>
  </si>
  <si>
    <t>Day</t>
  </si>
  <si>
    <t>Driver</t>
  </si>
  <si>
    <t>Client</t>
  </si>
  <si>
    <t>Meals 
Needed</t>
  </si>
  <si>
    <t>Meals Left</t>
  </si>
  <si>
    <t>Wednesday</t>
  </si>
  <si>
    <t>Thursday</t>
  </si>
  <si>
    <t>Meals</t>
  </si>
  <si>
    <t xml:space="preserve">No pork. </t>
  </si>
  <si>
    <t>No seafood, tomato based dishes (okay with meatloaf), or spicy meals (e.g. curry)</t>
  </si>
  <si>
    <t>No pork</t>
  </si>
  <si>
    <t>No curry, burritos, or other bean dishes</t>
  </si>
  <si>
    <t>No whole nuts or tomato-based meals (mostly meals with marinara sauce, can have meatloaf and chili)</t>
  </si>
  <si>
    <t>Likes tuna, but no other seafood. Tomato sauce does not agree with his stomach. No pork or beans/lentils, split pea soup</t>
  </si>
  <si>
    <t>Ensure only</t>
  </si>
  <si>
    <t>Please limit beef meals to 3-4 a week and pasta dishes to 1-2 a week (based on availability of food</t>
  </si>
  <si>
    <t>No overly crunchy foods (e.g. whole nuts, raw carrots)</t>
  </si>
  <si>
    <t>No soup, stew, or curry</t>
  </si>
  <si>
    <t>Allergic to tomatoes and avoid higher sodium dishes such as smoked sausage</t>
  </si>
  <si>
    <t>Please limit pastas to 1-2/ week</t>
  </si>
  <si>
    <t>Try to give as many softer foods as possible (e.g. Mexican casserole, meatloaf, smaller pastas, etc.)</t>
  </si>
  <si>
    <t>Allergic to cilantro and coriander, Can't tolerate much spice but likes the gumbo. Does not eat pork other than bacon or sausage.</t>
  </si>
  <si>
    <t>Meal Notes</t>
  </si>
  <si>
    <t>No preferences</t>
  </si>
  <si>
    <t>Chicken and Brown Rice Soup</t>
  </si>
  <si>
    <t>Cashew Chicken with Brown Rice</t>
  </si>
  <si>
    <t>Shrimp Scampi</t>
  </si>
  <si>
    <t>Pesto Rotini with Meatballs</t>
  </si>
  <si>
    <t>Beef Cabbage and Potato Soup</t>
  </si>
  <si>
    <t>Beef Kafta with Couscous</t>
  </si>
  <si>
    <t>Beef Stew with Split Peas and Barley</t>
  </si>
  <si>
    <t>Stop</t>
  </si>
  <si>
    <t>Preferences</t>
  </si>
  <si>
    <r>
      <t xml:space="preserve">If at any point the values are not updating as expected, inspect the cell and see if the formula is populated correctly.
If it isn't, but other cells are, copy the formulas over by selecting the cell with the formula, clicking the little green square in the bottom of the corner and dragging across the cell(s) that need the formula. For the </t>
    </r>
    <r>
      <rPr>
        <u/>
        <sz val="11"/>
        <color theme="1"/>
        <rFont val="Aptos Narrow"/>
        <family val="2"/>
        <scheme val="minor"/>
      </rPr>
      <t xml:space="preserve">Pulled </t>
    </r>
    <r>
      <rPr>
        <sz val="11"/>
        <color theme="1"/>
        <rFont val="Aptos Narrow"/>
        <family val="2"/>
        <scheme val="minor"/>
      </rPr>
      <t xml:space="preserve">and </t>
    </r>
    <r>
      <rPr>
        <u/>
        <sz val="11"/>
        <color theme="1"/>
        <rFont val="Aptos Narrow"/>
        <family val="2"/>
        <scheme val="minor"/>
      </rPr>
      <t>End Quantity</t>
    </r>
    <r>
      <rPr>
        <sz val="11"/>
        <color theme="1"/>
        <rFont val="Aptos Narrow"/>
        <family val="2"/>
        <scheme val="minor"/>
      </rPr>
      <t xml:space="preserve"> and </t>
    </r>
    <r>
      <rPr>
        <u/>
        <sz val="11"/>
        <color theme="1"/>
        <rFont val="Aptos Narrow"/>
        <family val="2"/>
        <scheme val="minor"/>
      </rPr>
      <t>Filtered Total</t>
    </r>
    <r>
      <rPr>
        <sz val="11"/>
        <color theme="1"/>
        <rFont val="Aptos Narrow"/>
        <family val="2"/>
        <scheme val="minor"/>
      </rPr>
      <t xml:space="preserve"> rows the formulas run across. For the </t>
    </r>
    <r>
      <rPr>
        <u/>
        <sz val="11"/>
        <color theme="1"/>
        <rFont val="Aptos Narrow"/>
        <family val="2"/>
        <scheme val="minor"/>
      </rPr>
      <t>Meals Left</t>
    </r>
    <r>
      <rPr>
        <sz val="11"/>
        <color theme="1"/>
        <rFont val="Aptos Narrow"/>
        <family val="2"/>
        <scheme val="minor"/>
      </rPr>
      <t xml:space="preserve"> and </t>
    </r>
    <r>
      <rPr>
        <u/>
        <sz val="11"/>
        <color theme="1"/>
        <rFont val="Aptos Narrow"/>
        <family val="2"/>
        <scheme val="minor"/>
      </rPr>
      <t>Preferences</t>
    </r>
    <r>
      <rPr>
        <sz val="11"/>
        <color theme="1"/>
        <rFont val="Aptos Narrow"/>
        <family val="2"/>
        <scheme val="minor"/>
      </rPr>
      <t xml:space="preserve"> columns, the formula runs up and down. Below is an example of what the formulas should look like. </t>
    </r>
  </si>
  <si>
    <t xml:space="preserve">If you need to delete a meal that isn't at 0 quantity, select the entire column by clicking on the column letter, right click, and choose Delete. </t>
  </si>
  <si>
    <t>Miscellaenous</t>
  </si>
  <si>
    <r>
      <t xml:space="preserve">1. On the </t>
    </r>
    <r>
      <rPr>
        <i/>
        <sz val="11"/>
        <color theme="1"/>
        <rFont val="Aptos Narrow"/>
        <family val="2"/>
        <scheme val="minor"/>
      </rPr>
      <t>Clients Tab</t>
    </r>
    <r>
      <rPr>
        <sz val="11"/>
        <color theme="1"/>
        <rFont val="Aptos Narrow"/>
        <family val="2"/>
        <scheme val="minor"/>
      </rPr>
      <t xml:space="preserve">, select the row for the client you want to remove by clicking on the row number on the far left. 
2. With the entire row selected, right click and select Delete Row.
3. Repeat this step for the client on the </t>
    </r>
    <r>
      <rPr>
        <i/>
        <sz val="11"/>
        <color theme="1"/>
        <rFont val="Aptos Narrow"/>
        <family val="2"/>
        <scheme val="minor"/>
      </rPr>
      <t>Meal Selector</t>
    </r>
    <r>
      <rPr>
        <sz val="11"/>
        <color theme="1"/>
        <rFont val="Aptos Narrow"/>
        <family val="2"/>
        <scheme val="minor"/>
      </rPr>
      <t xml:space="preserve"> tab.</t>
    </r>
  </si>
  <si>
    <t>Removing a Client</t>
  </si>
  <si>
    <r>
      <t xml:space="preserve">1. On the </t>
    </r>
    <r>
      <rPr>
        <i/>
        <sz val="11"/>
        <color theme="1"/>
        <rFont val="Aptos Narrow"/>
        <family val="2"/>
        <scheme val="minor"/>
      </rPr>
      <t xml:space="preserve">Meal Selector </t>
    </r>
    <r>
      <rPr>
        <sz val="11"/>
        <color theme="1"/>
        <rFont val="Aptos Narrow"/>
        <family val="2"/>
        <scheme val="minor"/>
      </rPr>
      <t xml:space="preserve">tab, click the </t>
    </r>
    <r>
      <rPr>
        <b/>
        <sz val="11"/>
        <color theme="1"/>
        <rFont val="Aptos Narrow"/>
        <family val="2"/>
        <scheme val="minor"/>
      </rPr>
      <t xml:space="preserve">Add Meal </t>
    </r>
    <r>
      <rPr>
        <sz val="11"/>
        <color theme="1"/>
        <rFont val="Aptos Narrow"/>
        <family val="2"/>
        <scheme val="minor"/>
      </rPr>
      <t xml:space="preserve">button.
2. In the dialog box that opens, enter the name of the meal and click Okay.
3. In the next dialog box, enter the number of meals and click Okay.
4. This will add the meal to the sheet in column F. Ensure that the forumlas are copied over by inspecting the </t>
    </r>
    <r>
      <rPr>
        <u/>
        <sz val="11"/>
        <color theme="1"/>
        <rFont val="Aptos Narrow"/>
        <family val="2"/>
        <scheme val="minor"/>
      </rPr>
      <t>Pulled</t>
    </r>
    <r>
      <rPr>
        <sz val="11"/>
        <color theme="1"/>
        <rFont val="Aptos Narrow"/>
        <family val="2"/>
        <scheme val="minor"/>
      </rPr>
      <t xml:space="preserve"> and </t>
    </r>
    <r>
      <rPr>
        <u/>
        <sz val="11"/>
        <color theme="1"/>
        <rFont val="Aptos Narrow"/>
        <family val="2"/>
        <scheme val="minor"/>
      </rPr>
      <t>End Quantity</t>
    </r>
    <r>
      <rPr>
        <sz val="11"/>
        <color theme="1"/>
        <rFont val="Aptos Narrow"/>
        <family val="2"/>
        <scheme val="minor"/>
      </rPr>
      <t xml:space="preserve"> cells in column F. </t>
    </r>
  </si>
  <si>
    <t>Adding a Meal</t>
  </si>
  <si>
    <r>
      <t xml:space="preserve">Once meals have been alloted for the week, update the inventory and start quantities for the next week and reset the selections.
1. If you want to include meals that went to 0 in the inventory report, complete this step after step 2. Remove 0 quantity meals by clicking the </t>
    </r>
    <r>
      <rPr>
        <b/>
        <sz val="11"/>
        <color theme="1"/>
        <rFont val="Aptos Narrow"/>
        <family val="2"/>
        <scheme val="minor"/>
      </rPr>
      <t>Delete 0 Quantity Meals</t>
    </r>
    <r>
      <rPr>
        <sz val="11"/>
        <color theme="1"/>
        <rFont val="Aptos Narrow"/>
        <family val="2"/>
        <scheme val="minor"/>
      </rPr>
      <t xml:space="preserve"> button. This will delete any columns where the </t>
    </r>
    <r>
      <rPr>
        <u/>
        <sz val="11"/>
        <color theme="1"/>
        <rFont val="Aptos Narrow"/>
        <family val="2"/>
        <scheme val="minor"/>
      </rPr>
      <t>End Quantity</t>
    </r>
    <r>
      <rPr>
        <sz val="11"/>
        <color theme="1"/>
        <rFont val="Aptos Narrow"/>
        <family val="2"/>
        <scheme val="minor"/>
      </rPr>
      <t xml:space="preserve"> row is equal to 0.
2. Next click the </t>
    </r>
    <r>
      <rPr>
        <b/>
        <sz val="11"/>
        <color theme="1"/>
        <rFont val="Aptos Narrow"/>
        <family val="2"/>
        <scheme val="minor"/>
      </rPr>
      <t xml:space="preserve">Update Inventory and Send Email </t>
    </r>
    <r>
      <rPr>
        <sz val="11"/>
        <color theme="1"/>
        <rFont val="Aptos Narrow"/>
        <family val="2"/>
        <scheme val="minor"/>
      </rPr>
      <t xml:space="preserve">button on the Meal Selector tab. If you choose not to send an email at that time, you can complete that step later by clicking on the </t>
    </r>
    <r>
      <rPr>
        <b/>
        <sz val="11"/>
        <color theme="1"/>
        <rFont val="Aptos Narrow"/>
        <family val="2"/>
        <scheme val="minor"/>
      </rPr>
      <t>Send Email</t>
    </r>
    <r>
      <rPr>
        <sz val="11"/>
        <color theme="1"/>
        <rFont val="Aptos Narrow"/>
        <family val="2"/>
        <scheme val="minor"/>
      </rPr>
      <t xml:space="preserve"> button on the</t>
    </r>
    <r>
      <rPr>
        <i/>
        <sz val="11"/>
        <color theme="1"/>
        <rFont val="Aptos Narrow"/>
        <family val="2"/>
        <scheme val="minor"/>
      </rPr>
      <t xml:space="preserve"> Inventory Tab</t>
    </r>
    <r>
      <rPr>
        <sz val="11"/>
        <color theme="1"/>
        <rFont val="Aptos Narrow"/>
        <family val="2"/>
        <scheme val="minor"/>
      </rPr>
      <t xml:space="preserve">.
3. Now that the meal quantities have been saved off, update the starting quantities by clicking on the </t>
    </r>
    <r>
      <rPr>
        <b/>
        <sz val="11"/>
        <color theme="1"/>
        <rFont val="Aptos Narrow"/>
        <family val="2"/>
        <scheme val="minor"/>
      </rPr>
      <t xml:space="preserve">Update Quantities </t>
    </r>
    <r>
      <rPr>
        <sz val="11"/>
        <color theme="1"/>
        <rFont val="Aptos Narrow"/>
        <family val="2"/>
        <scheme val="minor"/>
      </rPr>
      <t xml:space="preserve">button. This will move the values in the </t>
    </r>
    <r>
      <rPr>
        <u/>
        <sz val="11"/>
        <color theme="1"/>
        <rFont val="Aptos Narrow"/>
        <family val="2"/>
        <scheme val="minor"/>
      </rPr>
      <t>End Quantity</t>
    </r>
    <r>
      <rPr>
        <sz val="11"/>
        <color theme="1"/>
        <rFont val="Aptos Narrow"/>
        <family val="2"/>
        <scheme val="minor"/>
      </rPr>
      <t xml:space="preserve"> row to the </t>
    </r>
    <r>
      <rPr>
        <u/>
        <sz val="11"/>
        <color theme="1"/>
        <rFont val="Aptos Narrow"/>
        <family val="2"/>
        <scheme val="minor"/>
      </rPr>
      <t>Start Quantity</t>
    </r>
    <r>
      <rPr>
        <sz val="11"/>
        <color theme="1"/>
        <rFont val="Aptos Narrow"/>
        <family val="2"/>
        <scheme val="minor"/>
      </rPr>
      <t xml:space="preserve">. The values in the </t>
    </r>
    <r>
      <rPr>
        <u/>
        <sz val="11"/>
        <color theme="1"/>
        <rFont val="Aptos Narrow"/>
        <family val="2"/>
        <scheme val="minor"/>
      </rPr>
      <t>End Quantity</t>
    </r>
    <r>
      <rPr>
        <sz val="11"/>
        <color theme="1"/>
        <rFont val="Aptos Narrow"/>
        <family val="2"/>
        <scheme val="minor"/>
      </rPr>
      <t xml:space="preserve"> row may look weird at this point, but that is okay, that will be resolved with the next step. 
4. Click the </t>
    </r>
    <r>
      <rPr>
        <b/>
        <sz val="11"/>
        <color theme="1"/>
        <rFont val="Aptos Narrow"/>
        <family val="2"/>
        <scheme val="minor"/>
      </rPr>
      <t>Clear Selection</t>
    </r>
    <r>
      <rPr>
        <sz val="11"/>
        <color theme="1"/>
        <rFont val="Aptos Narrow"/>
        <family val="2"/>
        <scheme val="minor"/>
      </rPr>
      <t xml:space="preserve"> button to reset the meal selector choices. This action should clear all of the values below the meal names, set the values in the </t>
    </r>
    <r>
      <rPr>
        <u/>
        <sz val="11"/>
        <color theme="1"/>
        <rFont val="Aptos Narrow"/>
        <family val="2"/>
        <scheme val="minor"/>
      </rPr>
      <t>Pulled</t>
    </r>
    <r>
      <rPr>
        <sz val="11"/>
        <color theme="1"/>
        <rFont val="Aptos Narrow"/>
        <family val="2"/>
        <scheme val="minor"/>
      </rPr>
      <t xml:space="preserve"> and </t>
    </r>
    <r>
      <rPr>
        <u/>
        <sz val="11"/>
        <color theme="1"/>
        <rFont val="Aptos Narrow"/>
        <family val="2"/>
        <scheme val="minor"/>
      </rPr>
      <t>Filtered Total</t>
    </r>
    <r>
      <rPr>
        <sz val="11"/>
        <color theme="1"/>
        <rFont val="Aptos Narrow"/>
        <family val="2"/>
        <scheme val="minor"/>
      </rPr>
      <t xml:space="preserve"> rows to be 0, and reset the </t>
    </r>
    <r>
      <rPr>
        <u/>
        <sz val="11"/>
        <color theme="1"/>
        <rFont val="Aptos Narrow"/>
        <family val="2"/>
        <scheme val="minor"/>
      </rPr>
      <t>Meals Left</t>
    </r>
    <r>
      <rPr>
        <sz val="11"/>
        <color theme="1"/>
        <rFont val="Aptos Narrow"/>
        <family val="2"/>
        <scheme val="minor"/>
      </rPr>
      <t xml:space="preserve"> column. 
</t>
    </r>
  </si>
  <si>
    <t>Updating the Inventory</t>
  </si>
  <si>
    <r>
      <t xml:space="preserve">1. Use the filters in the top left corner to filter the client list by day and/or driver.
2. For each client, review the </t>
    </r>
    <r>
      <rPr>
        <u/>
        <sz val="11"/>
        <color theme="1"/>
        <rFont val="Aptos Narrow"/>
        <family val="2"/>
        <scheme val="minor"/>
      </rPr>
      <t>Preferences</t>
    </r>
    <r>
      <rPr>
        <sz val="11"/>
        <color theme="1"/>
        <rFont val="Aptos Narrow"/>
        <family val="2"/>
        <scheme val="minor"/>
      </rPr>
      <t xml:space="preserve"> and place a 1 in the column for each meal that you want to allot to them that week. Repeat until the </t>
    </r>
    <r>
      <rPr>
        <u/>
        <sz val="11"/>
        <color theme="1"/>
        <rFont val="Aptos Narrow"/>
        <family val="2"/>
        <scheme val="minor"/>
      </rPr>
      <t xml:space="preserve">Meals Left </t>
    </r>
    <r>
      <rPr>
        <sz val="11"/>
        <color theme="1"/>
        <rFont val="Aptos Narrow"/>
        <family val="2"/>
        <scheme val="minor"/>
      </rPr>
      <t xml:space="preserve">column is 0. 
3. Pull the appropriate number of meals from the freezers based on the </t>
    </r>
    <r>
      <rPr>
        <u/>
        <sz val="11"/>
        <color theme="1"/>
        <rFont val="Aptos Narrow"/>
        <family val="2"/>
        <scheme val="minor"/>
      </rPr>
      <t>Filtered Total</t>
    </r>
    <r>
      <rPr>
        <sz val="11"/>
        <color theme="1"/>
        <rFont val="Aptos Narrow"/>
        <family val="2"/>
        <scheme val="minor"/>
      </rPr>
      <t xml:space="preserve"> for each meal. 
4. Pack the meals for each client according to the meal selections. 
Notes: If you select too many meals for a given client, the </t>
    </r>
    <r>
      <rPr>
        <u/>
        <sz val="11"/>
        <color theme="1"/>
        <rFont val="Aptos Narrow"/>
        <family val="2"/>
        <scheme val="minor"/>
      </rPr>
      <t>Meal Left</t>
    </r>
    <r>
      <rPr>
        <sz val="11"/>
        <color theme="1"/>
        <rFont val="Aptos Narrow"/>
        <family val="2"/>
        <scheme val="minor"/>
      </rPr>
      <t xml:space="preserve"> column will show negative and be highlighted yellow. Similarly, if there is 10 or less left of a meal, the </t>
    </r>
    <r>
      <rPr>
        <u/>
        <sz val="11"/>
        <color theme="1"/>
        <rFont val="Aptos Narrow"/>
        <family val="2"/>
        <scheme val="minor"/>
      </rPr>
      <t xml:space="preserve">End Quantity </t>
    </r>
    <r>
      <rPr>
        <sz val="11"/>
        <color theme="1"/>
        <rFont val="Aptos Narrow"/>
        <family val="2"/>
        <scheme val="minor"/>
      </rPr>
      <t xml:space="preserve"> for the meal will turn orange, and if you allot more of a meal than is available, it will show negative and be highlited red.</t>
    </r>
  </si>
  <si>
    <t>Using the Meal Selector</t>
  </si>
  <si>
    <r>
      <t xml:space="preserve">1. Go to the </t>
    </r>
    <r>
      <rPr>
        <i/>
        <sz val="11"/>
        <rFont val="Aptos Narrow"/>
        <family val="2"/>
        <scheme val="minor"/>
      </rPr>
      <t>Client List</t>
    </r>
    <r>
      <rPr>
        <sz val="11"/>
        <rFont val="Aptos Narrow"/>
        <family val="2"/>
        <scheme val="minor"/>
      </rPr>
      <t xml:space="preserve"> tab and enter the client's name in column A directly below the last entry. Ensure the table extends to include this entry. 
2. Fill in the relevant information, including any meal preferences in column G. If the client has no meal preferences enter "No preferences".
3. Go to the </t>
    </r>
    <r>
      <rPr>
        <i/>
        <sz val="11"/>
        <rFont val="Aptos Narrow"/>
        <family val="2"/>
        <scheme val="minor"/>
      </rPr>
      <t xml:space="preserve">Meal Selector </t>
    </r>
    <r>
      <rPr>
        <sz val="11"/>
        <rFont val="Aptos Narrow"/>
        <family val="2"/>
        <scheme val="minor"/>
      </rPr>
      <t xml:space="preserve">tab and enter the client's name in column C directly below the last entry. Ensure the table extends to include this entry. 
4. Fill in the delivery day, driver, and number of meals needed in columns A, B, and D, respectively. 
5. Copy the forumla in the </t>
    </r>
    <r>
      <rPr>
        <u/>
        <sz val="11"/>
        <rFont val="Aptos Narrow"/>
        <family val="2"/>
        <scheme val="minor"/>
      </rPr>
      <t>Preferences</t>
    </r>
    <r>
      <rPr>
        <sz val="11"/>
        <rFont val="Aptos Narrow"/>
        <family val="2"/>
        <scheme val="minor"/>
      </rPr>
      <t xml:space="preserve"> column down to fill in the row by selecting the cell above, clicking on the green square in the bottom right corner of the cell, and dragging down. Make sure that what you entered in column G on the </t>
    </r>
    <r>
      <rPr>
        <i/>
        <sz val="11"/>
        <rFont val="Aptos Narrow"/>
        <family val="2"/>
        <scheme val="minor"/>
      </rPr>
      <t xml:space="preserve">Client List </t>
    </r>
    <r>
      <rPr>
        <sz val="11"/>
        <rFont val="Aptos Narrow"/>
        <family val="2"/>
        <scheme val="minor"/>
      </rPr>
      <t xml:space="preserve">tab now appears in the </t>
    </r>
    <r>
      <rPr>
        <u/>
        <sz val="11"/>
        <rFont val="Aptos Narrow"/>
        <family val="2"/>
        <scheme val="minor"/>
      </rPr>
      <t>Preferences</t>
    </r>
    <r>
      <rPr>
        <sz val="11"/>
        <rFont val="Aptos Narrow"/>
        <family val="2"/>
        <scheme val="minor"/>
      </rPr>
      <t xml:space="preserve"> column for the client on the </t>
    </r>
    <r>
      <rPr>
        <i/>
        <sz val="11"/>
        <rFont val="Aptos Narrow"/>
        <family val="2"/>
        <scheme val="minor"/>
      </rPr>
      <t xml:space="preserve">Meal Selector </t>
    </r>
    <r>
      <rPr>
        <sz val="11"/>
        <rFont val="Aptos Narrow"/>
        <family val="2"/>
        <scheme val="minor"/>
      </rPr>
      <t>tab.</t>
    </r>
  </si>
  <si>
    <t>Adding a New Client</t>
  </si>
  <si>
    <r>
      <t xml:space="preserve">In these instructions:
</t>
    </r>
    <r>
      <rPr>
        <b/>
        <sz val="11"/>
        <color theme="1"/>
        <rFont val="Aptos Narrow"/>
        <family val="2"/>
        <scheme val="minor"/>
      </rPr>
      <t xml:space="preserve">bold </t>
    </r>
    <r>
      <rPr>
        <sz val="11"/>
        <color theme="1"/>
        <rFont val="Aptos Narrow"/>
        <family val="2"/>
        <scheme val="minor"/>
      </rPr>
      <t xml:space="preserve">referes to buttons
</t>
    </r>
    <r>
      <rPr>
        <i/>
        <sz val="11"/>
        <color theme="1"/>
        <rFont val="Aptos Narrow"/>
        <family val="2"/>
        <scheme val="minor"/>
      </rPr>
      <t xml:space="preserve">italics </t>
    </r>
    <r>
      <rPr>
        <sz val="11"/>
        <color theme="1"/>
        <rFont val="Aptos Narrow"/>
        <family val="2"/>
        <scheme val="minor"/>
      </rPr>
      <t xml:space="preserve">refers to tabs/worksheets
</t>
    </r>
    <r>
      <rPr>
        <u/>
        <sz val="11"/>
        <color theme="1"/>
        <rFont val="Aptos Narrow"/>
        <family val="2"/>
        <scheme val="minor"/>
      </rPr>
      <t>underline</t>
    </r>
    <r>
      <rPr>
        <sz val="11"/>
        <color theme="1"/>
        <rFont val="Aptos Narrow"/>
        <family val="2"/>
        <scheme val="minor"/>
      </rPr>
      <t xml:space="preserve"> refers to specific columns/rows</t>
    </r>
  </si>
  <si>
    <t>diabetic and kidney friendly diet</t>
  </si>
  <si>
    <t>No chicken and rices dishes (generally does not prefer rice). On fluid restrictions so limits soups/stews. Prefers meat and potato dishes the most.</t>
  </si>
  <si>
    <t>No pork, no seafood, limit rice.</t>
  </si>
  <si>
    <t>Names</t>
  </si>
  <si>
    <t>Pureed-Miscellaneous</t>
  </si>
  <si>
    <t>No fish (shellfish is okay).Loves the gumbo is not fond of the meatloaf with mac &amp; cheese</t>
  </si>
  <si>
    <t>Beef Stroganoff</t>
  </si>
  <si>
    <t>Beef Lasagna (tomato, dairy)</t>
  </si>
  <si>
    <t>White Bean Beef Chili (tomato)</t>
  </si>
  <si>
    <t>Pork Chile Verde</t>
  </si>
  <si>
    <t>Smoked Sausage</t>
  </si>
  <si>
    <t>BBQ Chicken</t>
  </si>
  <si>
    <t>Beef Ravioli w Tomato Sauce</t>
  </si>
  <si>
    <t>Seafood Scampi</t>
  </si>
  <si>
    <t>Chicken Alfredo (dairy)</t>
  </si>
  <si>
    <t>Chicken Yakisoba (tomato)</t>
  </si>
  <si>
    <t>Client 1</t>
  </si>
  <si>
    <t>Client 2</t>
  </si>
  <si>
    <t>Client 3</t>
  </si>
  <si>
    <t>Client 4</t>
  </si>
  <si>
    <t>Client 5</t>
  </si>
  <si>
    <t>Client 6</t>
  </si>
  <si>
    <t>Client 7</t>
  </si>
  <si>
    <t>Client 8</t>
  </si>
  <si>
    <t>Client 9</t>
  </si>
  <si>
    <t>Client 10</t>
  </si>
  <si>
    <t>Client 11</t>
  </si>
  <si>
    <t>Client 12</t>
  </si>
  <si>
    <t>Client 13</t>
  </si>
  <si>
    <t>Client 14</t>
  </si>
  <si>
    <t>Client 15</t>
  </si>
  <si>
    <t>Client 16</t>
  </si>
  <si>
    <t>Client 17</t>
  </si>
  <si>
    <t>Client 18</t>
  </si>
  <si>
    <t>Client 19</t>
  </si>
  <si>
    <t>Client 20</t>
  </si>
  <si>
    <t>Client 21</t>
  </si>
  <si>
    <t>Client 22</t>
  </si>
  <si>
    <t>Client 23</t>
  </si>
  <si>
    <t>Client 24</t>
  </si>
  <si>
    <t>Client 25</t>
  </si>
  <si>
    <t>Client 26</t>
  </si>
  <si>
    <t>Client 27</t>
  </si>
  <si>
    <t>Client 28</t>
  </si>
  <si>
    <t>Client 29</t>
  </si>
  <si>
    <t>Client 30</t>
  </si>
  <si>
    <t>Client 31</t>
  </si>
  <si>
    <t>Client 32</t>
  </si>
  <si>
    <t>Client 33</t>
  </si>
  <si>
    <t>Client 34</t>
  </si>
  <si>
    <t>Client 35</t>
  </si>
  <si>
    <t>Driver 1</t>
  </si>
  <si>
    <t>Driver 2</t>
  </si>
  <si>
    <t>Driver 3</t>
  </si>
  <si>
    <t>Driver 4</t>
  </si>
  <si>
    <t>Driver 5</t>
  </si>
  <si>
    <t>Driver 6</t>
  </si>
  <si>
    <t>Driver 7</t>
  </si>
  <si>
    <t>Driver 8</t>
  </si>
  <si>
    <t>Driver 9</t>
  </si>
  <si>
    <t>Driver 10</t>
  </si>
  <si>
    <t>Driver 11</t>
  </si>
  <si>
    <t>Driver 12</t>
  </si>
  <si>
    <t>Driver 13</t>
  </si>
  <si>
    <r>
      <t>Dri</t>
    </r>
    <r>
      <rPr>
        <sz val="10"/>
        <color theme="1"/>
        <rFont val="Aptos Narrow"/>
        <family val="2"/>
        <scheme val="minor"/>
      </rPr>
      <t>ve</t>
    </r>
    <r>
      <rPr>
        <sz val="11"/>
        <color theme="1"/>
        <rFont val="Aptos Narrow"/>
        <family val="2"/>
        <scheme val="minor"/>
      </rPr>
      <t>r 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</si>
</sst>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b/>
      <sz val="11"/>
      <color theme="0"/>
      <name val="Aptos Narrow"/>
      <family val="2"/>
      <scheme val="minor"/>
    </font>
    <font>
      <sz val="11"/>
      <color theme="0"/>
      <name val="Aptos Narrow"/>
      <family val="2"/>
      <scheme val="minor"/>
    </font>
    <font>
      <b/>
      <sz val="16"/>
      <color theme="0"/>
      <name val="Aptos Narrow"/>
      <family val="2"/>
      <scheme val="minor"/>
    </font>
    <font>
      <b/>
      <sz val="12"/>
      <color theme="0"/>
      <name val="Aptos Narrow"/>
      <family val="2"/>
      <scheme val="minor"/>
    </font>
    <font>
      <sz val="12"/>
      <color theme="1"/>
      <name val="Aptos Narrow"/>
      <family val="2"/>
      <scheme val="minor"/>
    </font>
    <font>
      <sz val="8"/>
      <name val="Aptos Narrow"/>
      <family val="2"/>
      <scheme val="minor"/>
    </font>
    <font>
      <b/>
      <sz val="12"/>
      <name val="Aptos Narrow"/>
      <family val="2"/>
      <scheme val="minor"/>
    </font>
    <font>
      <sz val="11"/>
      <color rgb="FF000000"/>
      <name val="Aptos Narrow"/>
      <family val="2"/>
    </font>
    <font>
      <b/>
      <sz val="11"/>
      <color theme="1"/>
      <name val="Aptos Narrow"/>
      <family val="2"/>
      <scheme val="minor"/>
    </font>
    <font>
      <u/>
      <sz val="11"/>
      <color theme="1"/>
      <name val="Aptos Narrow"/>
      <family val="2"/>
      <scheme val="minor"/>
    </font>
    <font>
      <b/>
      <sz val="14"/>
      <color theme="1"/>
      <name val="Aptos Narrow"/>
      <family val="2"/>
      <scheme val="minor"/>
    </font>
    <font>
      <i/>
      <sz val="11"/>
      <color theme="1"/>
      <name val="Aptos Narrow"/>
      <family val="2"/>
      <scheme val="minor"/>
    </font>
    <font>
      <sz val="11"/>
      <name val="Aptos Narrow"/>
      <family val="2"/>
      <scheme val="minor"/>
    </font>
    <font>
      <i/>
      <sz val="11"/>
      <name val="Aptos Narrow"/>
      <family val="2"/>
      <scheme val="minor"/>
    </font>
    <font>
      <u/>
      <sz val="11"/>
      <name val="Aptos Narrow"/>
      <family val="2"/>
      <scheme val="minor"/>
    </font>
    <font>
      <b/>
      <sz val="14"/>
      <name val="Aptos Narrow"/>
      <family val="2"/>
      <scheme val="minor"/>
    </font>
    <font>
      <sz val="10"/>
      <color theme="1"/>
      <name val="Aptos Narrow"/>
      <family val="2"/>
      <scheme val="minor"/>
    </font>
  </fonts>
  <fills count="5">
    <fill>
      <patternFill patternType="none"/>
    </fill>
    <fill>
      <patternFill patternType="gray125"/>
    </fill>
    <fill>
      <patternFill patternType="solid">
        <fgColor theme="1"/>
        <bgColor indexed="64"/>
      </patternFill>
    </fill>
    <fill>
      <patternFill patternType="solid">
        <fgColor theme="2"/>
        <bgColor indexed="64"/>
      </patternFill>
    </fill>
    <fill>
      <patternFill patternType="solid">
        <fgColor rgb="FF046E5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n">
        <color indexed="64"/>
      </bottom>
      <diagonal/>
    </border>
  </borders>
  <cellStyleXfs count="1">
    <xf numFmtId="0" fontId="0" fillId="0" borderId="0"/>
  </cellStyleXfs>
  <cellXfs count="34">
    <xf numFmtId="0" fontId="0" fillId="0" borderId="0" xfId="0"/>
    <xf numFmtId="0" fontId="0" fillId="0" borderId="0" xfId="0" applyAlignment="1">
      <alignment horizontal="right"/>
    </xf>
    <xf numFmtId="0" fontId="0" fillId="0" borderId="0" xfId="0" pivotButton="1"/>
    <xf numFmtId="0" fontId="0" fillId="0" borderId="0" xfId="0" applyAlignment="1">
      <alignment horizontal="left"/>
    </xf>
    <xf numFmtId="0" fontId="0" fillId="0" borderId="0" xfId="0" applyAlignment="1">
      <alignment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lignment horizontal="center"/>
    </xf>
    <xf numFmtId="0" fontId="3" fillId="2" borderId="0" xfId="0" applyFont="1" applyFill="1" applyAlignment="1">
      <alignment horizontal="center" vertical="center"/>
    </xf>
    <xf numFmtId="0" fontId="5" fillId="3" borderId="1" xfId="0" applyFont="1" applyFill="1" applyBorder="1" applyAlignment="1">
      <alignment horizontal="center"/>
    </xf>
    <xf numFmtId="0" fontId="5" fillId="0" borderId="1" xfId="0" applyFont="1" applyBorder="1" applyAlignment="1">
      <alignment horizontal="center"/>
    </xf>
    <xf numFmtId="0" fontId="5" fillId="2" borderId="0" xfId="0" applyFont="1" applyFill="1" applyAlignment="1">
      <alignment horizontal="center"/>
    </xf>
    <xf numFmtId="0" fontId="5" fillId="3" borderId="2" xfId="0" applyFont="1" applyFill="1" applyBorder="1" applyAlignment="1">
      <alignment horizontal="center"/>
    </xf>
    <xf numFmtId="0" fontId="4" fillId="2" borderId="0" xfId="0" applyFont="1" applyFill="1" applyAlignment="1">
      <alignment horizontal="center" wrapText="1"/>
    </xf>
    <xf numFmtId="0" fontId="5" fillId="0" borderId="3" xfId="0" applyFont="1" applyBorder="1" applyAlignment="1">
      <alignment horizontal="center"/>
    </xf>
    <xf numFmtId="0" fontId="1" fillId="2" borderId="0" xfId="0" applyFont="1" applyFill="1" applyAlignment="1">
      <alignment horizontal="left" wrapText="1"/>
    </xf>
    <xf numFmtId="0" fontId="1" fillId="2" borderId="3" xfId="0" applyFont="1" applyFill="1" applyBorder="1"/>
    <xf numFmtId="0" fontId="7" fillId="2" borderId="4" xfId="0" applyFont="1" applyFill="1" applyBorder="1"/>
    <xf numFmtId="0" fontId="11" fillId="0" borderId="0" xfId="0" applyFont="1"/>
    <xf numFmtId="0" fontId="0" fillId="0" borderId="0" xfId="0" applyAlignment="1">
      <alignment vertical="top" wrapText="1"/>
    </xf>
    <xf numFmtId="0" fontId="13" fillId="0" borderId="0" xfId="0" applyFont="1" applyAlignment="1">
      <alignment wrapText="1"/>
    </xf>
    <xf numFmtId="0" fontId="16" fillId="0" borderId="0" xfId="0" applyFont="1"/>
    <xf numFmtId="0" fontId="0" fillId="0" borderId="0" xfId="0" applyAlignment="1">
      <alignment horizontal="left" wrapText="1"/>
    </xf>
    <xf numFmtId="0" fontId="13" fillId="2" borderId="0" xfId="0" applyFont="1" applyFill="1" applyAlignment="1">
      <alignment horizontal="left"/>
    </xf>
    <xf numFmtId="0" fontId="9" fillId="0" borderId="0" xfId="0" applyFont="1"/>
    <xf numFmtId="0" fontId="0" fillId="2" borderId="0" xfId="0" applyFill="1" applyAlignment="1" applyProtection="1">
      <alignment horizontal="left"/>
      <protection locked="0"/>
    </xf>
    <xf numFmtId="0" fontId="0" fillId="0" borderId="0" xfId="0" applyAlignment="1" applyProtection="1">
      <alignment horizontal="left"/>
      <protection locked="0"/>
    </xf>
    <xf numFmtId="0" fontId="0" fillId="2" borderId="0" xfId="0" applyFill="1" applyAlignment="1">
      <alignment horizontal="left"/>
    </xf>
    <xf numFmtId="0" fontId="4" fillId="2" borderId="0" xfId="0" applyFont="1" applyFill="1" applyAlignment="1">
      <alignment horizontal="left"/>
    </xf>
    <xf numFmtId="0" fontId="5" fillId="2" borderId="0" xfId="0" applyFont="1" applyFill="1" applyAlignment="1">
      <alignment horizontal="left"/>
    </xf>
    <xf numFmtId="0" fontId="0" fillId="0" borderId="0" xfId="0" applyAlignment="1">
      <alignment horizontal="left" vertical="top"/>
    </xf>
    <xf numFmtId="0" fontId="2" fillId="2" borderId="0" xfId="0" applyFont="1" applyFill="1" applyAlignment="1">
      <alignment horizontal="left"/>
    </xf>
    <xf numFmtId="0" fontId="2" fillId="4" borderId="0" xfId="0" applyFont="1" applyFill="1" applyAlignment="1">
      <alignment horizontal="center" vertical="center" wrapText="1"/>
    </xf>
    <xf numFmtId="0" fontId="3" fillId="2" borderId="0" xfId="0" applyFont="1" applyFill="1" applyAlignment="1">
      <alignment horizontal="center" vertical="center"/>
    </xf>
  </cellXfs>
  <cellStyles count="1">
    <cellStyle name="Normal" xfId="0" builtinId="0"/>
  </cellStyles>
  <dxfs count="30">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rgb="FF9C0006"/>
      </font>
      <fill>
        <patternFill>
          <bgColor rgb="FFFFC7CE"/>
        </patternFill>
      </fill>
    </dxf>
    <dxf>
      <font>
        <color theme="9" tint="-0.24994659260841701"/>
      </font>
      <fill>
        <patternFill>
          <bgColor theme="9" tint="0.59996337778862885"/>
        </patternFill>
      </fill>
    </dxf>
    <dxf>
      <font>
        <color theme="5" tint="-0.24994659260841701"/>
      </font>
      <fill>
        <patternFill>
          <bgColor theme="5" tint="0.59996337778862885"/>
        </patternFill>
      </fill>
    </dxf>
    <dxf>
      <font>
        <color theme="5"/>
      </font>
      <fill>
        <patternFill>
          <bgColor rgb="FFFFCC99"/>
        </patternFill>
      </fill>
    </dxf>
    <dxf>
      <alignment horizontal="center" vertical="bottom" textRotation="0" wrapText="0" indent="0" justifyLastLine="0" shrinkToFit="0" readingOrder="0"/>
      <protection locked="0" hidden="0"/>
    </dxf>
    <dxf>
      <alignment horizontal="general" vertical="bottom" textRotation="0" wrapText="1" indent="0" justifyLastLine="0" shrinkToFit="0" readingOrder="0"/>
    </dxf>
    <dxf>
      <numFmt numFmtId="0" formatCode="General"/>
    </dxf>
    <dxf>
      <numFmt numFmtId="0" formatCode="General"/>
      <alignment horizontal="left" vertical="bottom" textRotation="0" wrapText="0" indent="0" justifyLastLine="0" shrinkToFit="0" readingOrder="0"/>
      <protection locked="1" hidden="0"/>
    </dxf>
    <dxf>
      <numFmt numFmtId="0" formatCode="General"/>
      <alignment horizontal="center" vertical="bottom" textRotation="0" wrapText="0" indent="0" justifyLastLine="0" shrinkToFit="0" readingOrder="0"/>
      <protection locked="1"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1" hidden="0"/>
    </dxf>
    <dxf>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alignment horizontal="left" vertical="bottom" textRotation="0" wrapText="0" indent="0" justifyLastLine="0" shrinkToFit="0" readingOrder="0"/>
      <protection locked="1" hidden="0"/>
    </dxf>
    <dxf>
      <protection locked="0" hidden="0"/>
    </dxf>
    <dxf>
      <protection locked="0" hidden="0"/>
    </dxf>
    <dxf>
      <alignment horizontal="right" vertical="bottom" textRotation="0" wrapText="0" indent="0" justifyLastLine="0" shrinkToFit="0" readingOrder="0"/>
    </dxf>
  </dxfs>
  <tableStyles count="1" defaultTableStyle="TableStyleMedium2" defaultPivotStyle="PivotStyleLight16">
    <tableStyle name="Slicer Style 1" pivot="0" table="0" count="1" xr9:uid="{3A429C00-653F-4E9D-81C2-DAB816036CE0}"/>
  </tableStyles>
  <colors>
    <mruColors>
      <color rgb="FF046E5C"/>
    </mruColors>
  </colors>
  <extLst>
    <ext xmlns:x14="http://schemas.microsoft.com/office/spreadsheetml/2009/9/main" uri="{46F421CA-312F-682f-3DD2-61675219B42D}">
      <x14:dxfs count="1">
        <dxf>
          <font>
            <color theme="0"/>
          </font>
          <fill>
            <patternFill>
              <fgColor rgb="FF046E5C"/>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38100</xdr:colOff>
      <xdr:row>8</xdr:row>
      <xdr:rowOff>160020</xdr:rowOff>
    </xdr:from>
    <xdr:to>
      <xdr:col>10</xdr:col>
      <xdr:colOff>53340</xdr:colOff>
      <xdr:row>22</xdr:row>
      <xdr:rowOff>53340</xdr:rowOff>
    </xdr:to>
    <xdr:sp macro="" textlink="">
      <xdr:nvSpPr>
        <xdr:cNvPr id="2" name="Rectangle 1">
          <a:extLst>
            <a:ext uri="{FF2B5EF4-FFF2-40B4-BE49-F238E27FC236}">
              <a16:creationId xmlns:a16="http://schemas.microsoft.com/office/drawing/2014/main" id="{17C77C46-4AE4-7F58-3A0F-A9A908CF7F3D}"/>
            </a:ext>
          </a:extLst>
        </xdr:cNvPr>
        <xdr:cNvSpPr/>
      </xdr:nvSpPr>
      <xdr:spPr>
        <a:xfrm>
          <a:off x="7071360" y="1623060"/>
          <a:ext cx="3063240" cy="2453640"/>
        </a:xfrm>
        <a:prstGeom prst="rec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22860</xdr:colOff>
      <xdr:row>9</xdr:row>
      <xdr:rowOff>137160</xdr:rowOff>
    </xdr:from>
    <xdr:to>
      <xdr:col>8</xdr:col>
      <xdr:colOff>541020</xdr:colOff>
      <xdr:row>12</xdr:row>
      <xdr:rowOff>99060</xdr:rowOff>
    </xdr:to>
    <xdr:sp macro="" textlink="">
      <xdr:nvSpPr>
        <xdr:cNvPr id="3" name="Rectangle 2">
          <a:extLst>
            <a:ext uri="{FF2B5EF4-FFF2-40B4-BE49-F238E27FC236}">
              <a16:creationId xmlns:a16="http://schemas.microsoft.com/office/drawing/2014/main" id="{10105E06-32CB-6EE4-0819-7B0CF4001A98}"/>
            </a:ext>
          </a:extLst>
        </xdr:cNvPr>
        <xdr:cNvSpPr/>
      </xdr:nvSpPr>
      <xdr:spPr>
        <a:xfrm>
          <a:off x="9494520" y="1783080"/>
          <a:ext cx="518160" cy="510540"/>
        </a:xfrm>
        <a:prstGeom prst="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F1</a:t>
          </a:r>
        </a:p>
      </xdr:txBody>
    </xdr:sp>
    <xdr:clientData/>
  </xdr:twoCellAnchor>
  <xdr:twoCellAnchor>
    <xdr:from>
      <xdr:col>5</xdr:col>
      <xdr:colOff>121920</xdr:colOff>
      <xdr:row>10</xdr:row>
      <xdr:rowOff>91440</xdr:rowOff>
    </xdr:from>
    <xdr:to>
      <xdr:col>5</xdr:col>
      <xdr:colOff>640080</xdr:colOff>
      <xdr:row>13</xdr:row>
      <xdr:rowOff>53340</xdr:rowOff>
    </xdr:to>
    <xdr:sp macro="" textlink="">
      <xdr:nvSpPr>
        <xdr:cNvPr id="4" name="Rectangle 3">
          <a:extLst>
            <a:ext uri="{FF2B5EF4-FFF2-40B4-BE49-F238E27FC236}">
              <a16:creationId xmlns:a16="http://schemas.microsoft.com/office/drawing/2014/main" id="{06ADCAA5-BE0E-494E-B904-7471871F0B8E}"/>
            </a:ext>
          </a:extLst>
        </xdr:cNvPr>
        <xdr:cNvSpPr/>
      </xdr:nvSpPr>
      <xdr:spPr>
        <a:xfrm>
          <a:off x="7155180" y="1920240"/>
          <a:ext cx="518160" cy="51054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F2</a:t>
          </a:r>
        </a:p>
      </xdr:txBody>
    </xdr:sp>
    <xdr:clientData/>
  </xdr:twoCellAnchor>
  <xdr:twoCellAnchor>
    <xdr:from>
      <xdr:col>6</xdr:col>
      <xdr:colOff>129540</xdr:colOff>
      <xdr:row>14</xdr:row>
      <xdr:rowOff>160020</xdr:rowOff>
    </xdr:from>
    <xdr:to>
      <xdr:col>6</xdr:col>
      <xdr:colOff>647700</xdr:colOff>
      <xdr:row>17</xdr:row>
      <xdr:rowOff>121920</xdr:rowOff>
    </xdr:to>
    <xdr:sp macro="" textlink="">
      <xdr:nvSpPr>
        <xdr:cNvPr id="5" name="Rectangle 4">
          <a:extLst>
            <a:ext uri="{FF2B5EF4-FFF2-40B4-BE49-F238E27FC236}">
              <a16:creationId xmlns:a16="http://schemas.microsoft.com/office/drawing/2014/main" id="{E3C0191B-0F81-44E4-BE19-972B98960C1C}"/>
            </a:ext>
          </a:extLst>
        </xdr:cNvPr>
        <xdr:cNvSpPr/>
      </xdr:nvSpPr>
      <xdr:spPr>
        <a:xfrm>
          <a:off x="7162800" y="2720340"/>
          <a:ext cx="518160" cy="510540"/>
        </a:xfrm>
        <a:prstGeom prst="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F3</a:t>
          </a:r>
        </a:p>
      </xdr:txBody>
    </xdr:sp>
    <xdr:clientData/>
  </xdr:twoCellAnchor>
  <xdr:twoCellAnchor>
    <xdr:from>
      <xdr:col>6</xdr:col>
      <xdr:colOff>373380</xdr:colOff>
      <xdr:row>11</xdr:row>
      <xdr:rowOff>76200</xdr:rowOff>
    </xdr:from>
    <xdr:to>
      <xdr:col>6</xdr:col>
      <xdr:colOff>891540</xdr:colOff>
      <xdr:row>14</xdr:row>
      <xdr:rowOff>38100</xdr:rowOff>
    </xdr:to>
    <xdr:sp macro="" textlink="">
      <xdr:nvSpPr>
        <xdr:cNvPr id="6" name="Rectangle 5">
          <a:extLst>
            <a:ext uri="{FF2B5EF4-FFF2-40B4-BE49-F238E27FC236}">
              <a16:creationId xmlns:a16="http://schemas.microsoft.com/office/drawing/2014/main" id="{104619DC-77FA-4AEA-9AD3-DCF6AB16AE87}"/>
            </a:ext>
          </a:extLst>
        </xdr:cNvPr>
        <xdr:cNvSpPr/>
      </xdr:nvSpPr>
      <xdr:spPr>
        <a:xfrm>
          <a:off x="8260080" y="2087880"/>
          <a:ext cx="518160" cy="510540"/>
        </a:xfrm>
        <a:prstGeom prst="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F4</a:t>
          </a:r>
        </a:p>
      </xdr:txBody>
    </xdr:sp>
    <xdr:clientData/>
  </xdr:twoCellAnchor>
  <xdr:twoCellAnchor>
    <xdr:from>
      <xdr:col>6</xdr:col>
      <xdr:colOff>952500</xdr:colOff>
      <xdr:row>12</xdr:row>
      <xdr:rowOff>60960</xdr:rowOff>
    </xdr:from>
    <xdr:to>
      <xdr:col>7</xdr:col>
      <xdr:colOff>228600</xdr:colOff>
      <xdr:row>16</xdr:row>
      <xdr:rowOff>45720</xdr:rowOff>
    </xdr:to>
    <xdr:sp macro="" textlink="">
      <xdr:nvSpPr>
        <xdr:cNvPr id="7" name="Rectangle: Rounded Corners 6">
          <a:extLst>
            <a:ext uri="{FF2B5EF4-FFF2-40B4-BE49-F238E27FC236}">
              <a16:creationId xmlns:a16="http://schemas.microsoft.com/office/drawing/2014/main" id="{42F3E932-B180-E11A-2672-87758DF0F0F9}"/>
            </a:ext>
          </a:extLst>
        </xdr:cNvPr>
        <xdr:cNvSpPr/>
      </xdr:nvSpPr>
      <xdr:spPr>
        <a:xfrm>
          <a:off x="8839200" y="2255520"/>
          <a:ext cx="251460" cy="71628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vert="vert270" rtlCol="0" anchor="ctr"/>
        <a:lstStyle/>
        <a:p>
          <a:pPr algn="ctr"/>
          <a:r>
            <a:rPr lang="en-US" sz="1100"/>
            <a:t>Desk</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21</xdr:row>
      <xdr:rowOff>19050</xdr:rowOff>
    </xdr:from>
    <xdr:ext cx="10607959" cy="1729889"/>
    <xdr:pic>
      <xdr:nvPicPr>
        <xdr:cNvPr id="2" name="Picture 1">
          <a:extLst>
            <a:ext uri="{FF2B5EF4-FFF2-40B4-BE49-F238E27FC236}">
              <a16:creationId xmlns:a16="http://schemas.microsoft.com/office/drawing/2014/main" id="{2C65EFD6-2C52-41AB-95B6-8397D637B7C1}"/>
            </a:ext>
          </a:extLst>
        </xdr:cNvPr>
        <xdr:cNvPicPr>
          <a:picLocks noChangeAspect="1"/>
        </xdr:cNvPicPr>
      </xdr:nvPicPr>
      <xdr:blipFill>
        <a:blip xmlns:r="http://schemas.openxmlformats.org/officeDocument/2006/relationships" r:embed="rId1"/>
        <a:stretch>
          <a:fillRect/>
        </a:stretch>
      </xdr:blipFill>
      <xdr:spPr>
        <a:xfrm>
          <a:off x="11430" y="3815715"/>
          <a:ext cx="10607959" cy="1729889"/>
        </a:xfrm>
        <a:prstGeom prst="rect">
          <a:avLst/>
        </a:prstGeom>
      </xdr:spPr>
    </xdr:pic>
    <xdr:clientData/>
  </xdr:oneCellAnchor>
  <xdr:oneCellAnchor>
    <xdr:from>
      <xdr:col>0</xdr:col>
      <xdr:colOff>0</xdr:colOff>
      <xdr:row>30</xdr:row>
      <xdr:rowOff>87630</xdr:rowOff>
    </xdr:from>
    <xdr:ext cx="7254295" cy="981075"/>
    <xdr:pic>
      <xdr:nvPicPr>
        <xdr:cNvPr id="3" name="Picture 2">
          <a:extLst>
            <a:ext uri="{FF2B5EF4-FFF2-40B4-BE49-F238E27FC236}">
              <a16:creationId xmlns:a16="http://schemas.microsoft.com/office/drawing/2014/main" id="{057A309B-39A5-4E3D-8B61-4F763694010B}"/>
            </a:ext>
          </a:extLst>
        </xdr:cNvPr>
        <xdr:cNvPicPr>
          <a:picLocks noChangeAspect="1"/>
        </xdr:cNvPicPr>
      </xdr:nvPicPr>
      <xdr:blipFill>
        <a:blip xmlns:r="http://schemas.openxmlformats.org/officeDocument/2006/relationships" r:embed="rId2"/>
        <a:stretch>
          <a:fillRect/>
        </a:stretch>
      </xdr:blipFill>
      <xdr:spPr>
        <a:xfrm>
          <a:off x="0" y="11460480"/>
          <a:ext cx="7254295" cy="98107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547041</xdr:colOff>
      <xdr:row>5</xdr:row>
      <xdr:rowOff>59054</xdr:rowOff>
    </xdr:to>
    <mc:AlternateContent xmlns:mc="http://schemas.openxmlformats.org/markup-compatibility/2006" xmlns:sle15="http://schemas.microsoft.com/office/drawing/2012/slicer">
      <mc:Choice Requires="sle15">
        <xdr:graphicFrame macro="">
          <xdr:nvGraphicFramePr>
            <xdr:cNvPr id="2" name="Day">
              <a:extLst>
                <a:ext uri="{FF2B5EF4-FFF2-40B4-BE49-F238E27FC236}">
                  <a16:creationId xmlns:a16="http://schemas.microsoft.com/office/drawing/2014/main" id="{62F5828F-A142-17A0-1F6E-A526893F33BF}"/>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0" y="0"/>
              <a:ext cx="1874520" cy="121157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16</xdr:col>
          <xdr:colOff>281940</xdr:colOff>
          <xdr:row>6</xdr:row>
          <xdr:rowOff>320040</xdr:rowOff>
        </xdr:from>
        <xdr:to>
          <xdr:col>16</xdr:col>
          <xdr:colOff>1196340</xdr:colOff>
          <xdr:row>6</xdr:row>
          <xdr:rowOff>777240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Clear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281940</xdr:colOff>
          <xdr:row>2</xdr:row>
          <xdr:rowOff>137160</xdr:rowOff>
        </xdr:from>
        <xdr:to>
          <xdr:col>16</xdr:col>
          <xdr:colOff>1196340</xdr:colOff>
          <xdr:row>5</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Delete 0 Quantity Meals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68580</xdr:colOff>
          <xdr:row>0</xdr:row>
          <xdr:rowOff>152400</xdr:rowOff>
        </xdr:from>
        <xdr:to>
          <xdr:col>16</xdr:col>
          <xdr:colOff>373380</xdr:colOff>
          <xdr:row>2</xdr:row>
          <xdr:rowOff>53340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Update Inventory and Send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68580</xdr:colOff>
          <xdr:row>2</xdr:row>
          <xdr:rowOff>137160</xdr:rowOff>
        </xdr:from>
        <xdr:to>
          <xdr:col>16</xdr:col>
          <xdr:colOff>144780</xdr:colOff>
          <xdr:row>5</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Update Quantities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68580</xdr:colOff>
          <xdr:row>6</xdr:row>
          <xdr:rowOff>320040</xdr:rowOff>
        </xdr:from>
        <xdr:to>
          <xdr:col>16</xdr:col>
          <xdr:colOff>144780</xdr:colOff>
          <xdr:row>6</xdr:row>
          <xdr:rowOff>777240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Add Meal</a:t>
              </a:r>
            </a:p>
          </xdr:txBody>
        </xdr:sp>
        <xdr:clientData fPrintsWithSheet="0"/>
      </xdr:twoCellAnchor>
    </mc:Choice>
    <mc:Fallback/>
  </mc:AlternateContent>
  <xdr:twoCellAnchor editAs="absolute">
    <xdr:from>
      <xdr:col>0</xdr:col>
      <xdr:colOff>0</xdr:colOff>
      <xdr:row>5</xdr:row>
      <xdr:rowOff>76201</xdr:rowOff>
    </xdr:from>
    <xdr:to>
      <xdr:col>1</xdr:col>
      <xdr:colOff>541961</xdr:colOff>
      <xdr:row>6</xdr:row>
      <xdr:rowOff>1059181</xdr:rowOff>
    </xdr:to>
    <mc:AlternateContent xmlns:mc="http://schemas.openxmlformats.org/markup-compatibility/2006" xmlns:sle15="http://schemas.microsoft.com/office/drawing/2012/slicer">
      <mc:Choice Requires="sle15">
        <xdr:graphicFrame macro="">
          <xdr:nvGraphicFramePr>
            <xdr:cNvPr id="3" name="Driver">
              <a:extLst>
                <a:ext uri="{FF2B5EF4-FFF2-40B4-BE49-F238E27FC236}">
                  <a16:creationId xmlns:a16="http://schemas.microsoft.com/office/drawing/2014/main" id="{5AAFC5B5-C593-15AE-612F-B2C149D5D720}"/>
                </a:ext>
              </a:extLst>
            </xdr:cNvPr>
            <xdr:cNvGraphicFramePr/>
          </xdr:nvGraphicFramePr>
          <xdr:xfrm>
            <a:off x="0" y="0"/>
            <a:ext cx="0" cy="0"/>
          </xdr:xfrm>
          <a:graphic>
            <a:graphicData uri="http://schemas.microsoft.com/office/drawing/2010/slicer">
              <sle:slicer xmlns:sle="http://schemas.microsoft.com/office/drawing/2010/slicer" name="Driver"/>
            </a:graphicData>
          </a:graphic>
        </xdr:graphicFrame>
      </mc:Choice>
      <mc:Fallback xmlns="">
        <xdr:sp macro="" textlink="">
          <xdr:nvSpPr>
            <xdr:cNvPr id="0" name=""/>
            <xdr:cNvSpPr>
              <a:spLocks noTextEdit="1"/>
            </xdr:cNvSpPr>
          </xdr:nvSpPr>
          <xdr:spPr>
            <a:xfrm>
              <a:off x="0" y="1226821"/>
              <a:ext cx="1882140" cy="11811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167640</xdr:colOff>
          <xdr:row>1</xdr:row>
          <xdr:rowOff>0</xdr:rowOff>
        </xdr:from>
        <xdr:to>
          <xdr:col>7</xdr:col>
          <xdr:colOff>403860</xdr:colOff>
          <xdr:row>4</xdr:row>
          <xdr:rowOff>152400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Send Email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yson" refreshedDate="45719.534906944442" createdVersion="8" refreshedVersion="8" minRefreshableVersion="3" recordCount="14" xr:uid="{A3EDF4A1-9BA7-4258-8121-F13D27C7C0AE}">
  <cacheSource type="worksheet">
    <worksheetSource name="Table4"/>
  </cacheSource>
  <cacheFields count="3">
    <cacheField name="Meal" numFmtId="0">
      <sharedItems/>
    </cacheField>
    <cacheField name="Location" numFmtId="0">
      <sharedItems count="4">
        <s v="F2"/>
        <s v="F3"/>
        <s v="F1"/>
        <s v="F4"/>
      </sharedItems>
    </cacheField>
    <cacheField name="Quantity" numFmtId="0">
      <sharedItems containsSemiMixedTypes="0" containsString="0" containsNumber="1" containsInteger="1" minValue="1" maxValue="5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s v="Bratwurst (Dairy)"/>
    <x v="0"/>
    <n v="58"/>
  </r>
  <r>
    <s v="Chicken Soup"/>
    <x v="1"/>
    <n v="58"/>
  </r>
  <r>
    <s v="Meatloaf (Tomato)"/>
    <x v="1"/>
    <n v="57"/>
  </r>
  <r>
    <s v="Chicken Fajitas (Bell Pepper)"/>
    <x v="0"/>
    <n v="41"/>
  </r>
  <r>
    <s v="Beef Pie (Gluten) "/>
    <x v="1"/>
    <n v="39"/>
  </r>
  <r>
    <s v="Chicken Tortilla Soup (Tomato)"/>
    <x v="2"/>
    <n v="29"/>
  </r>
  <r>
    <s v="Pork Loin with Couscous (Dairy)"/>
    <x v="1"/>
    <n v="16"/>
  </r>
  <r>
    <s v="Beef Lasagna (Tomato, Dairy)"/>
    <x v="0"/>
    <n v="11"/>
  </r>
  <r>
    <s v="Gumbo with Chicken, Shrimp, and Sausage (Tomato, Pork, Shellfish)"/>
    <x v="3"/>
    <n v="4"/>
  </r>
  <r>
    <s v="Beef and Cabbage (Tomato)"/>
    <x v="3"/>
    <n v="4"/>
  </r>
  <r>
    <s v="Veggie Lentil Soup (Leafy Greens)"/>
    <x v="3"/>
    <n v="3"/>
  </r>
  <r>
    <s v="Hawaiian Teriyaki Chicken Mac n Cheese (Dairy)"/>
    <x v="3"/>
    <n v="1"/>
  </r>
  <r>
    <s v="Beef and Bean Chili (Dairy)"/>
    <x v="3"/>
    <n v="1"/>
  </r>
  <r>
    <s v="Pesto Raviolis w Beef and Cheese (Nuts, Dairy)"/>
    <x v="3"/>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34B944D-E230-4259-B753-9CF559CC5FE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2:G7" firstHeaderRow="1" firstDataRow="1" firstDataCol="1"/>
  <pivotFields count="3">
    <pivotField showAll="0"/>
    <pivotField axis="axisRow" showAll="0">
      <items count="5">
        <item x="2"/>
        <item x="0"/>
        <item x="1"/>
        <item x="3"/>
        <item t="default"/>
      </items>
    </pivotField>
    <pivotField dataField="1" showAll="0"/>
  </pivotFields>
  <rowFields count="1">
    <field x="1"/>
  </rowFields>
  <rowItems count="5">
    <i>
      <x/>
    </i>
    <i>
      <x v="1"/>
    </i>
    <i>
      <x v="2"/>
    </i>
    <i>
      <x v="3"/>
    </i>
    <i t="grand">
      <x/>
    </i>
  </rowItems>
  <colItems count="1">
    <i/>
  </colItems>
  <dataFields count="1">
    <dataField name="Sum of Quantity" fld="2" baseField="0" baseItem="0"/>
  </dataField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D462B7A7-9EE0-4D90-82A9-596F5AB0F653}" sourceName="Day">
  <extLst>
    <x:ext xmlns:x15="http://schemas.microsoft.com/office/spreadsheetml/2010/11/main" uri="{2F2917AC-EB37-4324-AD4E-5DD8C200BD13}">
      <x15:tableSlicerCache tableId="1" column="1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iver" xr10:uid="{EA591EB8-AA34-47B5-B173-78B183AE955D}" sourceName="Driver">
  <extLst>
    <x:ext xmlns:x15="http://schemas.microsoft.com/office/spreadsheetml/2010/11/main" uri="{2F2917AC-EB37-4324-AD4E-5DD8C200BD13}">
      <x15:tableSlicerCache tableId="1"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 xr10:uid="{5A01FA74-4C97-47DD-B3EF-683BC14FCCDB}" cache="Slicer_Day" caption="Day" style="SlicerStyleOther1" rowHeight="247650"/>
  <slicer name="Driver" xr10:uid="{17A4005C-2329-4B28-83D7-90412C37D9BA}" cache="Slicer_Driver" caption="Driver" columnCount="2" style="SlicerStyleOther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2E4815-3632-4050-A46D-FE9F4EDF97AC}" name="Table4" displayName="Table4" ref="A1:B23" totalsRowCount="1">
  <autoFilter ref="A1:B22" xr:uid="{332E4815-3632-4050-A46D-FE9F4EDF97AC}"/>
  <tableColumns count="2">
    <tableColumn id="1" xr3:uid="{9273A518-C099-48AC-8B92-A9B78CA138B9}" name="Meal" totalsRowLabel="Total" totalsRowDxfId="29"/>
    <tableColumn id="3" xr3:uid="{B9C79249-60EA-4598-A142-15C28E38F4EC}" name="Quantity" totalsRowFunction="sum"/>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5C25AE-FE23-453A-9471-44DB89356AC7}" name="Table1" displayName="Table1" ref="A7:Q28" totalsRowShown="0" headerRowDxfId="28" dataDxfId="27">
  <autoFilter ref="A7:Q28" xr:uid="{A65C25AE-FE23-453A-9471-44DB89356AC7}"/>
  <sortState xmlns:xlrd2="http://schemas.microsoft.com/office/spreadsheetml/2017/richdata2" ref="A8:P21">
    <sortCondition descending="1" ref="A7:A21"/>
  </sortState>
  <tableColumns count="17">
    <tableColumn id="17" xr3:uid="{02CB53E7-150A-4375-A2EA-41296766A8D7}" name="Day" dataDxfId="26"/>
    <tableColumn id="18" xr3:uid="{A5783144-8A32-4A3C-9C6E-85C37A1D2EDF}" name="Driver" dataDxfId="25"/>
    <tableColumn id="1" xr3:uid="{7B7C51CC-C83F-48E3-A43F-3921BB4247F8}" name="Client" dataDxfId="24"/>
    <tableColumn id="2" xr3:uid="{644FA630-1A1B-4892-A705-A624407EB397}" name="Meals _x000a_Needed" dataDxfId="23"/>
    <tableColumn id="20" xr3:uid="{72A99539-E5C1-4418-9BEE-631185505EF4}" name="Beef Stroganoff" dataDxfId="22"/>
    <tableColumn id="13" xr3:uid="{7701B24F-A8C3-42EF-8D23-818CD8207AB1}" name="Beef Ravioli w Tomato Sauce" dataDxfId="8"/>
    <tableColumn id="12" xr3:uid="{7F6ABF57-7A13-4765-AB5B-D44F0E121E3C}" name="Chicken Yakisoba (tomato)" dataDxfId="21"/>
    <tableColumn id="10" xr3:uid="{FBBA4A2C-1B52-4C46-BA39-8F25C8EAEC16}" name="Chicken Alfredo (dairy)" dataDxfId="20"/>
    <tableColumn id="8" xr3:uid="{CE3770DA-B1B4-441B-991E-875F135A6202}" name="Seafood Scampi" dataDxfId="19"/>
    <tableColumn id="11" xr3:uid="{BD08C068-3089-4C5B-84A3-6FCDD013FE17}" name="BBQ Chicken" dataDxfId="18"/>
    <tableColumn id="5" xr3:uid="{01FD1782-6FD2-42C8-8438-52B94D6CB9F8}" name="Smoked Sausage" dataDxfId="17"/>
    <tableColumn id="9" xr3:uid="{925D4AF5-9F85-44CD-A93F-8E15AD287D14}" name="Pork Chile Verde" dataDxfId="16"/>
    <tableColumn id="7" xr3:uid="{B6AD52EF-FE4B-4CBB-BED9-950C33EEC0EC}" name="White Bean Beef Chili (tomato)" dataDxfId="15"/>
    <tableColumn id="3" xr3:uid="{23DAE5E9-1A3B-4406-BF86-C51E556C88B8}" name="Beef Lasagna (tomato, dairy)" dataDxfId="14"/>
    <tableColumn id="4" xr3:uid="{8FBCE4B7-D9CF-4618-B4C8-8A8FC21FDCE3}" name="Pureed-Miscellaneous" dataDxfId="13"/>
    <tableColumn id="43" xr3:uid="{1DD8E254-8884-4CC4-94BC-723BE42E62D9}" name="Meals Left" dataDxfId="12">
      <calculatedColumnFormula>D8-SUM(E8:O8)</calculatedColumnFormula>
    </tableColumn>
    <tableColumn id="33" xr3:uid="{738B1D5B-868F-4FB6-B107-1B492EDB3785}" name="Preferences" dataDxfId="11">
      <calculatedColumnFormula>VLOOKUP(Table1[[#This Row],[Client]],'Client List'!A:D,4,FALSE)</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76EDA98-A949-4B4C-9000-83F9459523C5}" name="Table2" displayName="Table2" ref="A1:D36" totalsRowShown="0">
  <autoFilter ref="A1:D36" xr:uid="{E76EDA98-A949-4B4C-9000-83F9459523C5}"/>
  <sortState xmlns:xlrd2="http://schemas.microsoft.com/office/spreadsheetml/2017/richdata2" ref="A2:D28">
    <sortCondition ref="D1:D28"/>
  </sortState>
  <tableColumns count="4">
    <tableColumn id="1" xr3:uid="{2AF24289-8E7E-4DFA-B881-A29D207FB2E5}" name="Client"/>
    <tableColumn id="9" xr3:uid="{8B3ABFE8-A5F0-4B2E-AD7C-A9B4C619F429}" name="Driver" dataDxfId="10"/>
    <tableColumn id="5" xr3:uid="{D3F5C6F4-81C9-42EB-B2C9-54BC08120638}" name="Meals"/>
    <tableColumn id="7" xr3:uid="{32910595-35EE-4246-96FA-6EFE90647DD8}" name="Meal Notes"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E6331-232D-4959-8D85-B5808E44BC4C}">
  <sheetPr codeName="Sheet2"/>
  <dimension ref="A1:G23"/>
  <sheetViews>
    <sheetView workbookViewId="0">
      <selection activeCell="B15" sqref="B15"/>
    </sheetView>
  </sheetViews>
  <sheetFormatPr defaultRowHeight="14.4" x14ac:dyDescent="0.3"/>
  <cols>
    <col min="1" max="1" width="55.88671875" bestFit="1" customWidth="1"/>
    <col min="2" max="3" width="10" customWidth="1"/>
    <col min="7" max="7" width="12.44140625" bestFit="1" customWidth="1"/>
    <col min="8" max="8" width="14.33203125" bestFit="1" customWidth="1"/>
  </cols>
  <sheetData>
    <row r="1" spans="1:7" x14ac:dyDescent="0.3">
      <c r="A1" t="s">
        <v>0</v>
      </c>
      <c r="B1" t="s">
        <v>1</v>
      </c>
    </row>
    <row r="2" spans="1:7" x14ac:dyDescent="0.3">
      <c r="A2" t="s">
        <v>2</v>
      </c>
      <c r="B2">
        <v>0</v>
      </c>
      <c r="F2" s="2" t="s">
        <v>4</v>
      </c>
      <c r="G2" t="s">
        <v>5</v>
      </c>
    </row>
    <row r="3" spans="1:7" x14ac:dyDescent="0.3">
      <c r="A3" t="s">
        <v>8</v>
      </c>
      <c r="B3">
        <v>0</v>
      </c>
      <c r="F3" s="3" t="s">
        <v>3</v>
      </c>
      <c r="G3">
        <v>29</v>
      </c>
    </row>
    <row r="4" spans="1:7" x14ac:dyDescent="0.3">
      <c r="A4" t="s">
        <v>9</v>
      </c>
      <c r="B4">
        <v>0</v>
      </c>
      <c r="F4" s="3" t="s">
        <v>7</v>
      </c>
      <c r="G4">
        <v>110</v>
      </c>
    </row>
    <row r="5" spans="1:7" x14ac:dyDescent="0.3">
      <c r="A5" t="s">
        <v>14</v>
      </c>
      <c r="B5">
        <v>0</v>
      </c>
      <c r="F5" s="3" t="s">
        <v>10</v>
      </c>
      <c r="G5">
        <v>170</v>
      </c>
    </row>
    <row r="6" spans="1:7" x14ac:dyDescent="0.3">
      <c r="A6" t="s">
        <v>15</v>
      </c>
      <c r="B6">
        <v>0</v>
      </c>
      <c r="F6" s="3" t="s">
        <v>11</v>
      </c>
      <c r="G6">
        <v>14</v>
      </c>
    </row>
    <row r="7" spans="1:7" x14ac:dyDescent="0.3">
      <c r="A7" t="s">
        <v>16</v>
      </c>
      <c r="B7">
        <v>0</v>
      </c>
      <c r="F7" s="3" t="s">
        <v>13</v>
      </c>
      <c r="G7">
        <v>323</v>
      </c>
    </row>
    <row r="8" spans="1:7" x14ac:dyDescent="0.3">
      <c r="A8" t="s">
        <v>17</v>
      </c>
      <c r="B8">
        <v>0</v>
      </c>
    </row>
    <row r="9" spans="1:7" x14ac:dyDescent="0.3">
      <c r="A9" t="s">
        <v>18</v>
      </c>
      <c r="B9">
        <v>0</v>
      </c>
    </row>
    <row r="10" spans="1:7" x14ac:dyDescent="0.3">
      <c r="A10" t="s">
        <v>19</v>
      </c>
      <c r="B10">
        <v>0</v>
      </c>
    </row>
    <row r="11" spans="1:7" x14ac:dyDescent="0.3">
      <c r="A11" t="s">
        <v>20</v>
      </c>
      <c r="B11">
        <v>0</v>
      </c>
    </row>
    <row r="12" spans="1:7" x14ac:dyDescent="0.3">
      <c r="A12" t="s">
        <v>21</v>
      </c>
      <c r="B12">
        <v>0</v>
      </c>
    </row>
    <row r="13" spans="1:7" x14ac:dyDescent="0.3">
      <c r="A13" t="s">
        <v>53</v>
      </c>
      <c r="B13">
        <v>21</v>
      </c>
    </row>
    <row r="14" spans="1:7" x14ac:dyDescent="0.3">
      <c r="A14" t="s">
        <v>54</v>
      </c>
      <c r="B14">
        <v>36</v>
      </c>
    </row>
    <row r="15" spans="1:7" x14ac:dyDescent="0.3">
      <c r="A15" t="s">
        <v>55</v>
      </c>
      <c r="B15">
        <v>48</v>
      </c>
    </row>
    <row r="16" spans="1:7" x14ac:dyDescent="0.3">
      <c r="A16" t="s">
        <v>56</v>
      </c>
      <c r="B16">
        <v>52</v>
      </c>
    </row>
    <row r="17" spans="1:2" x14ac:dyDescent="0.3">
      <c r="A17" t="s">
        <v>6</v>
      </c>
      <c r="B17">
        <v>23</v>
      </c>
    </row>
    <row r="18" spans="1:2" x14ac:dyDescent="0.3">
      <c r="A18" t="s">
        <v>52</v>
      </c>
      <c r="B18">
        <v>12</v>
      </c>
    </row>
    <row r="19" spans="1:2" x14ac:dyDescent="0.3">
      <c r="A19" t="s">
        <v>12</v>
      </c>
      <c r="B19">
        <v>6</v>
      </c>
    </row>
    <row r="20" spans="1:2" x14ac:dyDescent="0.3">
      <c r="A20" t="s">
        <v>57</v>
      </c>
      <c r="B20">
        <v>58</v>
      </c>
    </row>
    <row r="21" spans="1:2" x14ac:dyDescent="0.3">
      <c r="A21" t="s">
        <v>58</v>
      </c>
      <c r="B21">
        <v>64</v>
      </c>
    </row>
    <row r="23" spans="1:2" x14ac:dyDescent="0.3">
      <c r="A23" s="1" t="s">
        <v>22</v>
      </c>
      <c r="B23">
        <f>SUBTOTAL(109,Table4[Quantity])</f>
        <v>320</v>
      </c>
    </row>
  </sheetData>
  <pageMargins left="0.7" right="0.7" top="0.75" bottom="0.75" header="0.3" footer="0.3"/>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DD50-4BA4-477E-B4C8-940C6332E60B}">
  <sheetPr codeName="Sheet5"/>
  <dimension ref="A1:A21"/>
  <sheetViews>
    <sheetView showGridLines="0" workbookViewId="0">
      <selection activeCell="A4" sqref="A4"/>
    </sheetView>
  </sheetViews>
  <sheetFormatPr defaultRowHeight="14.4" x14ac:dyDescent="0.3"/>
  <cols>
    <col min="1" max="1" width="137.44140625" customWidth="1"/>
  </cols>
  <sheetData>
    <row r="1" spans="1:1" ht="57.6" x14ac:dyDescent="0.3">
      <c r="A1" s="22" t="s">
        <v>74</v>
      </c>
    </row>
    <row r="2" spans="1:1" x14ac:dyDescent="0.3">
      <c r="A2" s="4"/>
    </row>
    <row r="3" spans="1:1" ht="18" x14ac:dyDescent="0.35">
      <c r="A3" s="21" t="s">
        <v>73</v>
      </c>
    </row>
    <row r="4" spans="1:1" ht="86.4" x14ac:dyDescent="0.3">
      <c r="A4" s="20" t="s">
        <v>72</v>
      </c>
    </row>
    <row r="6" spans="1:1" ht="18" x14ac:dyDescent="0.35">
      <c r="A6" s="18" t="s">
        <v>71</v>
      </c>
    </row>
    <row r="7" spans="1:1" ht="100.8" x14ac:dyDescent="0.3">
      <c r="A7" s="4" t="s">
        <v>70</v>
      </c>
    </row>
    <row r="9" spans="1:1" ht="18" x14ac:dyDescent="0.35">
      <c r="A9" s="18" t="s">
        <v>69</v>
      </c>
    </row>
    <row r="10" spans="1:1" ht="132" customHeight="1" x14ac:dyDescent="0.3">
      <c r="A10" s="19" t="s">
        <v>68</v>
      </c>
    </row>
    <row r="12" spans="1:1" ht="18" x14ac:dyDescent="0.35">
      <c r="A12" s="18" t="s">
        <v>67</v>
      </c>
    </row>
    <row r="13" spans="1:1" ht="57.6" x14ac:dyDescent="0.3">
      <c r="A13" s="4" t="s">
        <v>66</v>
      </c>
    </row>
    <row r="15" spans="1:1" ht="18" x14ac:dyDescent="0.35">
      <c r="A15" s="18" t="s">
        <v>65</v>
      </c>
    </row>
    <row r="16" spans="1:1" ht="43.2" x14ac:dyDescent="0.3">
      <c r="A16" s="19" t="s">
        <v>64</v>
      </c>
    </row>
    <row r="18" spans="1:1" ht="18" x14ac:dyDescent="0.35">
      <c r="A18" s="18" t="s">
        <v>63</v>
      </c>
    </row>
    <row r="19" spans="1:1" x14ac:dyDescent="0.3">
      <c r="A19" t="s">
        <v>62</v>
      </c>
    </row>
    <row r="21" spans="1:1" ht="57.6" x14ac:dyDescent="0.3">
      <c r="A21" s="4" t="s">
        <v>61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658A4-4998-4422-B8F9-0C058A8B6541}">
  <sheetPr codeName="Sheet1"/>
  <dimension ref="A1:Q28"/>
  <sheetViews>
    <sheetView tabSelected="1" zoomScale="81" zoomScaleNormal="81" workbookViewId="0">
      <pane xSplit="3" ySplit="7" topLeftCell="D8" activePane="bottomRight" state="frozen"/>
      <selection pane="topRight" activeCell="D1" sqref="D1"/>
      <selection pane="bottomLeft" activeCell="A8" sqref="A8"/>
      <selection pane="bottomRight" activeCell="F17" sqref="F17"/>
    </sheetView>
  </sheetViews>
  <sheetFormatPr defaultColWidth="8.88671875" defaultRowHeight="14.4" x14ac:dyDescent="0.3"/>
  <cols>
    <col min="1" max="1" width="19.44140625" style="26" bestFit="1" customWidth="1"/>
    <col min="2" max="2" width="12.21875" style="26" bestFit="1" customWidth="1"/>
    <col min="3" max="3" width="16.33203125" style="26" bestFit="1" customWidth="1"/>
    <col min="4" max="4" width="10.44140625" style="5" bestFit="1" customWidth="1"/>
    <col min="5" max="15" width="11.33203125" style="5" customWidth="1"/>
    <col min="16" max="16" width="12.33203125" customWidth="1"/>
    <col min="17" max="17" width="140.109375" style="3" bestFit="1" customWidth="1"/>
    <col min="18" max="16384" width="8.88671875" style="5"/>
  </cols>
  <sheetData>
    <row r="1" spans="1:17" ht="28.2" customHeight="1" x14ac:dyDescent="0.3">
      <c r="A1" s="25"/>
      <c r="B1" s="25"/>
      <c r="C1" s="27"/>
      <c r="D1" s="33" t="s">
        <v>23</v>
      </c>
      <c r="E1" s="33"/>
      <c r="F1" s="33"/>
      <c r="G1" s="33"/>
      <c r="H1" s="33"/>
      <c r="I1" s="33"/>
      <c r="J1" s="33"/>
      <c r="K1" s="33"/>
      <c r="L1" s="33"/>
      <c r="M1" s="33"/>
      <c r="N1" s="33"/>
      <c r="O1" s="33"/>
      <c r="P1" s="8"/>
      <c r="Q1" s="23"/>
    </row>
    <row r="2" spans="1:17" ht="15.6" x14ac:dyDescent="0.3">
      <c r="A2" s="25"/>
      <c r="B2" s="25"/>
      <c r="C2" s="28" t="s">
        <v>24</v>
      </c>
      <c r="D2" s="9">
        <f>SUM(E2:O2)</f>
        <v>444</v>
      </c>
      <c r="E2" s="10">
        <v>12</v>
      </c>
      <c r="F2" s="10">
        <v>28</v>
      </c>
      <c r="G2" s="10">
        <v>75</v>
      </c>
      <c r="H2" s="10">
        <v>78</v>
      </c>
      <c r="I2" s="10">
        <v>58</v>
      </c>
      <c r="J2" s="10">
        <v>28</v>
      </c>
      <c r="K2" s="10">
        <v>45</v>
      </c>
      <c r="L2" s="10">
        <v>23</v>
      </c>
      <c r="M2" s="10">
        <v>27</v>
      </c>
      <c r="N2" s="10">
        <v>52</v>
      </c>
      <c r="O2" s="10">
        <v>18</v>
      </c>
      <c r="P2" s="11" t="s">
        <v>59</v>
      </c>
      <c r="Q2" s="23"/>
    </row>
    <row r="3" spans="1:17" ht="15.6" x14ac:dyDescent="0.3">
      <c r="A3" s="25"/>
      <c r="B3" s="25"/>
      <c r="C3" s="28" t="s">
        <v>25</v>
      </c>
      <c r="D3" s="10">
        <f>SUM(E3:O3)</f>
        <v>0</v>
      </c>
      <c r="E3" s="10">
        <f t="shared" ref="E3:O3" si="0">SUM(E8:E78)</f>
        <v>0</v>
      </c>
      <c r="F3" s="10">
        <f t="shared" ref="F3" si="1">SUM(F8:F78)</f>
        <v>0</v>
      </c>
      <c r="G3" s="10">
        <f t="shared" si="0"/>
        <v>0</v>
      </c>
      <c r="H3" s="10">
        <f t="shared" si="0"/>
        <v>0</v>
      </c>
      <c r="I3" s="10">
        <f t="shared" si="0"/>
        <v>0</v>
      </c>
      <c r="J3" s="10">
        <f t="shared" si="0"/>
        <v>0</v>
      </c>
      <c r="K3" s="10">
        <f t="shared" si="0"/>
        <v>0</v>
      </c>
      <c r="L3" s="10">
        <f t="shared" si="0"/>
        <v>0</v>
      </c>
      <c r="M3" s="10">
        <f t="shared" si="0"/>
        <v>0</v>
      </c>
      <c r="N3" s="10">
        <f t="shared" si="0"/>
        <v>0</v>
      </c>
      <c r="O3" s="10">
        <f t="shared" si="0"/>
        <v>0</v>
      </c>
      <c r="P3" s="11"/>
      <c r="Q3" s="23"/>
    </row>
    <row r="4" spans="1:17" ht="15.6" x14ac:dyDescent="0.3">
      <c r="A4" s="25"/>
      <c r="B4" s="25"/>
      <c r="C4" s="28" t="s">
        <v>26</v>
      </c>
      <c r="D4" s="9">
        <f t="shared" ref="D4" si="2">D2-D3</f>
        <v>444</v>
      </c>
      <c r="E4" s="12">
        <f t="shared" ref="E4:N4" si="3">E2-E3</f>
        <v>12</v>
      </c>
      <c r="F4" s="12">
        <f t="shared" ref="F4" si="4">F2-F3</f>
        <v>28</v>
      </c>
      <c r="G4" s="12">
        <f t="shared" ref="G4" si="5">G2-G3</f>
        <v>75</v>
      </c>
      <c r="H4" s="12">
        <f t="shared" ref="H4" si="6">H2-H3</f>
        <v>78</v>
      </c>
      <c r="I4" s="12">
        <f t="shared" ref="I4" si="7">I2-I3</f>
        <v>58</v>
      </c>
      <c r="J4" s="12">
        <f t="shared" ref="J4" si="8">J2-J3</f>
        <v>28</v>
      </c>
      <c r="K4" s="12">
        <f t="shared" ref="K4" si="9">K2-K3</f>
        <v>45</v>
      </c>
      <c r="L4" s="12">
        <f t="shared" ref="L4" si="10">L2-L3</f>
        <v>23</v>
      </c>
      <c r="M4" s="12">
        <f t="shared" ref="M4" si="11">M2-M3</f>
        <v>27</v>
      </c>
      <c r="N4" s="12">
        <f t="shared" si="3"/>
        <v>52</v>
      </c>
      <c r="O4" s="12">
        <f t="shared" ref="O4" si="12">O2-O3</f>
        <v>18</v>
      </c>
      <c r="P4" s="11" t="s">
        <v>59</v>
      </c>
      <c r="Q4" s="23"/>
    </row>
    <row r="5" spans="1:17" ht="15.6" x14ac:dyDescent="0.3">
      <c r="A5" s="25"/>
      <c r="B5" s="25"/>
      <c r="C5" s="29"/>
      <c r="D5" s="17"/>
      <c r="E5" s="17"/>
      <c r="F5" s="17"/>
      <c r="G5" s="17"/>
      <c r="H5" s="17"/>
      <c r="I5" s="17"/>
      <c r="J5" s="17"/>
      <c r="K5" s="17"/>
      <c r="L5" s="17"/>
      <c r="M5" s="17"/>
      <c r="N5" s="17"/>
      <c r="O5" s="17"/>
      <c r="P5" s="13"/>
      <c r="Q5" s="23"/>
    </row>
    <row r="6" spans="1:17" ht="15.6" x14ac:dyDescent="0.3">
      <c r="A6" s="25"/>
      <c r="B6" s="25"/>
      <c r="C6" s="28" t="s">
        <v>27</v>
      </c>
      <c r="D6" s="9">
        <f>SUM(E6:O6)</f>
        <v>0</v>
      </c>
      <c r="E6" s="14">
        <f t="shared" ref="E6:O6" si="13">SUBTOTAL(9,E8:E78)</f>
        <v>0</v>
      </c>
      <c r="F6" s="14">
        <f t="shared" ref="F6" si="14">SUBTOTAL(9,F8:F78)</f>
        <v>0</v>
      </c>
      <c r="G6" s="14">
        <f t="shared" si="13"/>
        <v>0</v>
      </c>
      <c r="H6" s="14">
        <f t="shared" si="13"/>
        <v>0</v>
      </c>
      <c r="I6" s="14">
        <f t="shared" si="13"/>
        <v>0</v>
      </c>
      <c r="J6" s="14">
        <f t="shared" si="13"/>
        <v>0</v>
      </c>
      <c r="K6" s="14">
        <f t="shared" si="13"/>
        <v>0</v>
      </c>
      <c r="L6" s="14">
        <f t="shared" si="13"/>
        <v>0</v>
      </c>
      <c r="M6" s="14">
        <f t="shared" si="13"/>
        <v>0</v>
      </c>
      <c r="N6" s="14">
        <f t="shared" si="13"/>
        <v>0</v>
      </c>
      <c r="O6" s="14">
        <f t="shared" si="13"/>
        <v>0</v>
      </c>
      <c r="P6" s="11">
        <v>1</v>
      </c>
      <c r="Q6" s="23"/>
    </row>
    <row r="7" spans="1:17" ht="97.05" customHeight="1" x14ac:dyDescent="0.3">
      <c r="A7" s="31" t="s">
        <v>28</v>
      </c>
      <c r="B7" s="31" t="s">
        <v>29</v>
      </c>
      <c r="C7" s="15" t="s">
        <v>30</v>
      </c>
      <c r="D7" s="15" t="s">
        <v>31</v>
      </c>
      <c r="E7" s="32" t="s">
        <v>81</v>
      </c>
      <c r="F7" s="32" t="s">
        <v>87</v>
      </c>
      <c r="G7" s="32" t="s">
        <v>90</v>
      </c>
      <c r="H7" s="32" t="s">
        <v>89</v>
      </c>
      <c r="I7" s="32" t="s">
        <v>88</v>
      </c>
      <c r="J7" s="32" t="s">
        <v>86</v>
      </c>
      <c r="K7" s="32" t="s">
        <v>85</v>
      </c>
      <c r="L7" s="32" t="s">
        <v>84</v>
      </c>
      <c r="M7" s="32" t="s">
        <v>83</v>
      </c>
      <c r="N7" s="32" t="s">
        <v>82</v>
      </c>
      <c r="O7" s="32" t="s">
        <v>79</v>
      </c>
      <c r="P7" s="16" t="s">
        <v>32</v>
      </c>
      <c r="Q7" s="31" t="s">
        <v>60</v>
      </c>
    </row>
    <row r="8" spans="1:17" x14ac:dyDescent="0.3">
      <c r="A8" s="3" t="s">
        <v>33</v>
      </c>
      <c r="B8" s="3" t="s">
        <v>131</v>
      </c>
      <c r="C8" s="3" t="s">
        <v>101</v>
      </c>
      <c r="D8" s="7">
        <v>7</v>
      </c>
      <c r="E8" s="6"/>
      <c r="F8" s="6"/>
      <c r="G8" s="6"/>
      <c r="H8" s="6"/>
      <c r="I8" s="6"/>
      <c r="J8" s="6"/>
      <c r="K8" s="6"/>
      <c r="L8" s="6"/>
      <c r="M8" s="6"/>
      <c r="N8" s="6"/>
      <c r="O8" s="6"/>
      <c r="P8" s="7">
        <f>D8-SUM(E8:O8)</f>
        <v>7</v>
      </c>
      <c r="Q8" s="3" t="str">
        <f>VLOOKUP(Table1[[#This Row],[Client]],'Client List'!A:D,4,FALSE)</f>
        <v>No seafood, tomato based dishes (okay with meatloaf), or spicy meals (e.g. curry)</v>
      </c>
    </row>
    <row r="9" spans="1:17" x14ac:dyDescent="0.3">
      <c r="A9" s="3" t="s">
        <v>33</v>
      </c>
      <c r="B9" s="3" t="s">
        <v>127</v>
      </c>
      <c r="C9" s="3" t="s">
        <v>97</v>
      </c>
      <c r="D9" s="7">
        <v>7</v>
      </c>
      <c r="E9" s="6"/>
      <c r="F9" s="6"/>
      <c r="G9" s="6"/>
      <c r="H9" s="6"/>
      <c r="I9" s="6"/>
      <c r="J9" s="6"/>
      <c r="K9" s="6"/>
      <c r="L9" s="6"/>
      <c r="M9" s="6"/>
      <c r="N9" s="6"/>
      <c r="O9" s="6"/>
      <c r="P9" s="7">
        <f>D9-SUM(E9:O9)</f>
        <v>7</v>
      </c>
      <c r="Q9" s="3" t="str">
        <f>VLOOKUP(Table1[[#This Row],[Client]],'Client List'!A:D,4,FALSE)</f>
        <v>No pork</v>
      </c>
    </row>
    <row r="10" spans="1:17" x14ac:dyDescent="0.3">
      <c r="A10" s="3" t="s">
        <v>33</v>
      </c>
      <c r="B10" s="3" t="s">
        <v>127</v>
      </c>
      <c r="C10" s="3" t="s">
        <v>113</v>
      </c>
      <c r="D10" s="7">
        <v>7</v>
      </c>
      <c r="E10" s="6"/>
      <c r="F10" s="6"/>
      <c r="G10" s="6"/>
      <c r="H10" s="6"/>
      <c r="I10" s="6"/>
      <c r="J10" s="6"/>
      <c r="K10" s="6"/>
      <c r="L10" s="6"/>
      <c r="M10" s="6"/>
      <c r="N10" s="6"/>
      <c r="O10" s="6"/>
      <c r="P10" s="7">
        <f>D10-SUM(E10:O10)</f>
        <v>7</v>
      </c>
      <c r="Q10" s="3" t="str">
        <f>VLOOKUP(Table1[[#This Row],[Client]],'Client List'!A:D,4,FALSE)</f>
        <v>No preferences</v>
      </c>
    </row>
    <row r="11" spans="1:17" x14ac:dyDescent="0.3">
      <c r="A11" s="3" t="s">
        <v>33</v>
      </c>
      <c r="B11" s="3" t="s">
        <v>127</v>
      </c>
      <c r="C11" s="3" t="s">
        <v>102</v>
      </c>
      <c r="D11" s="7">
        <v>7</v>
      </c>
      <c r="E11" s="6"/>
      <c r="F11" s="6"/>
      <c r="G11" s="6"/>
      <c r="H11" s="6"/>
      <c r="I11" s="6"/>
      <c r="J11" s="6"/>
      <c r="K11" s="6"/>
      <c r="L11" s="6"/>
      <c r="M11" s="6"/>
      <c r="N11" s="6"/>
      <c r="O11" s="6"/>
      <c r="P11" s="7">
        <f>D11-SUM(E11:O11)</f>
        <v>7</v>
      </c>
      <c r="Q11" s="3" t="str">
        <f>VLOOKUP(Table1[[#This Row],[Client]],'Client List'!A:D,4,FALSE)</f>
        <v>No soup, stew, or curry</v>
      </c>
    </row>
    <row r="12" spans="1:17" x14ac:dyDescent="0.3">
      <c r="A12" s="3" t="s">
        <v>33</v>
      </c>
      <c r="B12" s="3" t="s">
        <v>127</v>
      </c>
      <c r="C12" s="3" t="s">
        <v>106</v>
      </c>
      <c r="D12" s="7">
        <v>7</v>
      </c>
      <c r="E12" s="6"/>
      <c r="F12" s="6"/>
      <c r="G12" s="6"/>
      <c r="H12" s="6"/>
      <c r="I12" s="6"/>
      <c r="J12" s="6"/>
      <c r="K12" s="6"/>
      <c r="L12" s="6"/>
      <c r="M12" s="6"/>
      <c r="N12" s="6"/>
      <c r="O12" s="6"/>
      <c r="P12" s="7">
        <f>D12-SUM(E12:O12)</f>
        <v>7</v>
      </c>
      <c r="Q12" s="3" t="str">
        <f>VLOOKUP(Table1[[#This Row],[Client]],'Client List'!A:D,4,FALSE)</f>
        <v>Try to give as many softer foods as possible (e.g. Mexican casserole, meatloaf, smaller pastas, etc.)</v>
      </c>
    </row>
    <row r="13" spans="1:17" x14ac:dyDescent="0.3">
      <c r="A13" s="3" t="s">
        <v>33</v>
      </c>
      <c r="B13" s="3" t="s">
        <v>128</v>
      </c>
      <c r="C13" s="3" t="s">
        <v>108</v>
      </c>
      <c r="D13" s="7">
        <v>7</v>
      </c>
      <c r="E13" s="6"/>
      <c r="F13" s="6"/>
      <c r="G13" s="6"/>
      <c r="H13" s="6"/>
      <c r="I13" s="6"/>
      <c r="J13" s="6"/>
      <c r="K13" s="6"/>
      <c r="L13" s="6"/>
      <c r="M13" s="6"/>
      <c r="N13" s="6"/>
      <c r="O13" s="6"/>
      <c r="P13" s="7">
        <f>D13-SUM(E13:O13)</f>
        <v>7</v>
      </c>
      <c r="Q13" s="3" t="str">
        <f>VLOOKUP(Table1[[#This Row],[Client]],'Client List'!A:D,4,FALSE)</f>
        <v>No preferences</v>
      </c>
    </row>
    <row r="14" spans="1:17" x14ac:dyDescent="0.3">
      <c r="A14" s="3" t="s">
        <v>33</v>
      </c>
      <c r="B14" s="3" t="s">
        <v>128</v>
      </c>
      <c r="C14" s="3" t="s">
        <v>109</v>
      </c>
      <c r="D14" s="7">
        <v>7</v>
      </c>
      <c r="E14" s="6"/>
      <c r="F14" s="6"/>
      <c r="G14" s="6"/>
      <c r="H14" s="6"/>
      <c r="I14" s="6"/>
      <c r="J14" s="6"/>
      <c r="K14" s="6"/>
      <c r="L14" s="6"/>
      <c r="M14" s="6"/>
      <c r="N14" s="6"/>
      <c r="O14" s="6"/>
      <c r="P14" s="7">
        <f>D14-SUM(E14:O14)</f>
        <v>7</v>
      </c>
      <c r="Q14" s="3" t="str">
        <f>VLOOKUP(Table1[[#This Row],[Client]],'Client List'!A:D,4,FALSE)</f>
        <v>No preferences</v>
      </c>
    </row>
    <row r="15" spans="1:17" x14ac:dyDescent="0.3">
      <c r="A15" s="3" t="s">
        <v>33</v>
      </c>
      <c r="B15" s="3" t="s">
        <v>128</v>
      </c>
      <c r="C15" s="3" t="s">
        <v>110</v>
      </c>
      <c r="D15" s="7">
        <v>7</v>
      </c>
      <c r="E15" s="6"/>
      <c r="F15" s="6"/>
      <c r="G15" s="6"/>
      <c r="H15" s="6"/>
      <c r="I15" s="6"/>
      <c r="J15" s="6"/>
      <c r="K15" s="6"/>
      <c r="L15" s="6"/>
      <c r="M15" s="6"/>
      <c r="N15" s="6"/>
      <c r="O15" s="6"/>
      <c r="P15" s="7">
        <f>D15-SUM(E15:O15)</f>
        <v>7</v>
      </c>
      <c r="Q15" s="3" t="str">
        <f>VLOOKUP(Table1[[#This Row],[Client]],'Client List'!A:D,4,FALSE)</f>
        <v>No preferences</v>
      </c>
    </row>
    <row r="16" spans="1:17" x14ac:dyDescent="0.3">
      <c r="A16" s="3" t="s">
        <v>33</v>
      </c>
      <c r="B16" s="3" t="s">
        <v>128</v>
      </c>
      <c r="C16" s="3" t="s">
        <v>111</v>
      </c>
      <c r="D16" s="7">
        <v>7</v>
      </c>
      <c r="E16" s="6"/>
      <c r="F16" s="6"/>
      <c r="G16" s="6"/>
      <c r="H16" s="6"/>
      <c r="I16" s="6"/>
      <c r="J16" s="6"/>
      <c r="K16" s="6"/>
      <c r="L16" s="6"/>
      <c r="M16" s="6"/>
      <c r="N16" s="6"/>
      <c r="O16" s="6"/>
      <c r="P16" s="7">
        <f>D16-SUM(E16:O16)</f>
        <v>7</v>
      </c>
      <c r="Q16" s="3" t="str">
        <f>VLOOKUP(Table1[[#This Row],[Client]],'Client List'!A:D,4,FALSE)</f>
        <v>No preferences</v>
      </c>
    </row>
    <row r="17" spans="1:17" x14ac:dyDescent="0.3">
      <c r="A17" s="3" t="s">
        <v>33</v>
      </c>
      <c r="B17" s="3" t="s">
        <v>128</v>
      </c>
      <c r="C17" s="3" t="s">
        <v>112</v>
      </c>
      <c r="D17" s="7">
        <v>7</v>
      </c>
      <c r="E17" s="6"/>
      <c r="F17" s="6"/>
      <c r="G17" s="6"/>
      <c r="H17" s="6"/>
      <c r="I17" s="6"/>
      <c r="J17" s="6"/>
      <c r="K17" s="6"/>
      <c r="L17" s="6"/>
      <c r="M17" s="6"/>
      <c r="N17" s="6"/>
      <c r="O17" s="6"/>
      <c r="P17" s="7">
        <f>D17-SUM(E17:O17)</f>
        <v>7</v>
      </c>
      <c r="Q17" s="3" t="str">
        <f>VLOOKUP(Table1[[#This Row],[Client]],'Client List'!A:D,4,FALSE)</f>
        <v>No preferences</v>
      </c>
    </row>
    <row r="18" spans="1:17" x14ac:dyDescent="0.3">
      <c r="A18" s="3" t="s">
        <v>33</v>
      </c>
      <c r="B18" s="3" t="s">
        <v>128</v>
      </c>
      <c r="C18" s="3" t="s">
        <v>103</v>
      </c>
      <c r="D18" s="7">
        <v>7</v>
      </c>
      <c r="E18" s="6"/>
      <c r="F18" s="6"/>
      <c r="G18" s="6"/>
      <c r="H18" s="6"/>
      <c r="I18" s="6"/>
      <c r="J18" s="6"/>
      <c r="K18" s="6"/>
      <c r="L18" s="6"/>
      <c r="M18" s="6"/>
      <c r="N18" s="6"/>
      <c r="O18" s="6"/>
      <c r="P18" s="7">
        <f>D18-SUM(E18:O18)</f>
        <v>7</v>
      </c>
      <c r="Q18" s="3" t="str">
        <f>VLOOKUP(Table1[[#This Row],[Client]],'Client List'!A:D,4,FALSE)</f>
        <v>No whole nuts or tomato-based meals (mostly meals with marinara sauce, can have meatloaf and chili)</v>
      </c>
    </row>
    <row r="19" spans="1:17" x14ac:dyDescent="0.3">
      <c r="A19" s="3" t="s">
        <v>33</v>
      </c>
      <c r="B19" s="3" t="s">
        <v>126</v>
      </c>
      <c r="C19" s="3" t="s">
        <v>114</v>
      </c>
      <c r="D19" s="7">
        <v>7</v>
      </c>
      <c r="E19" s="6"/>
      <c r="F19" s="6"/>
      <c r="G19" s="6"/>
      <c r="H19" s="6"/>
      <c r="I19" s="6"/>
      <c r="J19" s="6"/>
      <c r="K19" s="6"/>
      <c r="L19" s="6"/>
      <c r="M19" s="6"/>
      <c r="N19" s="6"/>
      <c r="O19" s="6"/>
      <c r="P19" s="7">
        <f>D19-SUM(E19:O19)</f>
        <v>7</v>
      </c>
      <c r="Q19" s="3" t="str">
        <f>VLOOKUP(Table1[[#This Row],[Client]],'Client List'!A:D,4,FALSE)</f>
        <v>No preferences</v>
      </c>
    </row>
    <row r="20" spans="1:17" x14ac:dyDescent="0.3">
      <c r="A20" s="3" t="s">
        <v>33</v>
      </c>
      <c r="B20" s="3" t="s">
        <v>129</v>
      </c>
      <c r="C20" s="3" t="s">
        <v>116</v>
      </c>
      <c r="D20" s="7">
        <v>7</v>
      </c>
      <c r="E20" s="6"/>
      <c r="F20" s="6"/>
      <c r="G20" s="6"/>
      <c r="H20" s="6"/>
      <c r="I20" s="6"/>
      <c r="J20" s="6"/>
      <c r="K20" s="6"/>
      <c r="L20" s="6"/>
      <c r="M20" s="6"/>
      <c r="N20" s="6"/>
      <c r="O20" s="6"/>
      <c r="P20" s="7">
        <f>D20-SUM(E20:O20)</f>
        <v>7</v>
      </c>
      <c r="Q20" s="3" t="str">
        <f>VLOOKUP(Table1[[#This Row],[Client]],'Client List'!A:D,4,FALSE)</f>
        <v>No preferences</v>
      </c>
    </row>
    <row r="21" spans="1:17" x14ac:dyDescent="0.3">
      <c r="A21" s="3" t="s">
        <v>33</v>
      </c>
      <c r="B21" s="3" t="s">
        <v>129</v>
      </c>
      <c r="C21" s="3" t="s">
        <v>117</v>
      </c>
      <c r="D21" s="7">
        <v>7</v>
      </c>
      <c r="E21" s="6"/>
      <c r="F21" s="6"/>
      <c r="G21" s="6"/>
      <c r="H21" s="6"/>
      <c r="I21" s="6"/>
      <c r="J21" s="6"/>
      <c r="K21" s="6"/>
      <c r="L21" s="6"/>
      <c r="M21" s="6"/>
      <c r="N21" s="6"/>
      <c r="O21" s="6"/>
      <c r="P21" s="7">
        <f>D21-SUM(E21:O21)</f>
        <v>7</v>
      </c>
      <c r="Q21" s="3" t="str">
        <f>VLOOKUP(Table1[[#This Row],[Client]],'Client List'!A:D,4,FALSE)</f>
        <v>No preferences</v>
      </c>
    </row>
    <row r="22" spans="1:17" x14ac:dyDescent="0.3">
      <c r="A22" s="3" t="s">
        <v>34</v>
      </c>
      <c r="B22" s="3" t="s">
        <v>127</v>
      </c>
      <c r="C22" s="3" t="s">
        <v>118</v>
      </c>
      <c r="D22" s="7">
        <v>7</v>
      </c>
      <c r="E22" s="6"/>
      <c r="F22" s="6"/>
      <c r="G22" s="6"/>
      <c r="H22" s="6"/>
      <c r="I22" s="6"/>
      <c r="J22" s="6"/>
      <c r="K22" s="6"/>
      <c r="L22" s="6"/>
      <c r="M22" s="6"/>
      <c r="N22" s="6"/>
      <c r="O22" s="6"/>
      <c r="P22" s="7">
        <f>D22-SUM(E22:O22)</f>
        <v>7</v>
      </c>
      <c r="Q22" s="3" t="str">
        <f>VLOOKUP(Table1[[#This Row],[Client]],'Client List'!A:D,4,FALSE)</f>
        <v>diabetic and kidney friendly diet</v>
      </c>
    </row>
    <row r="23" spans="1:17" x14ac:dyDescent="0.3">
      <c r="A23" s="3" t="s">
        <v>34</v>
      </c>
      <c r="B23" s="3" t="s">
        <v>126</v>
      </c>
      <c r="C23" s="3" t="s">
        <v>119</v>
      </c>
      <c r="D23" s="7">
        <v>7</v>
      </c>
      <c r="E23" s="6"/>
      <c r="F23" s="6"/>
      <c r="G23" s="6"/>
      <c r="H23" s="6"/>
      <c r="I23" s="6"/>
      <c r="J23" s="6"/>
      <c r="K23" s="6"/>
      <c r="L23" s="6"/>
      <c r="M23" s="6"/>
      <c r="N23" s="6"/>
      <c r="O23" s="6"/>
      <c r="P23" s="7">
        <f>D23-SUM(E23:O23)</f>
        <v>7</v>
      </c>
      <c r="Q23" s="3" t="str">
        <f>VLOOKUP(Table1[[#This Row],[Client]],'Client List'!A:D,4,FALSE)</f>
        <v>No chicken and rices dishes (generally does not prefer rice). On fluid restrictions so limits soups/stews. Prefers meat and potato dishes the most.</v>
      </c>
    </row>
    <row r="24" spans="1:17" x14ac:dyDescent="0.3">
      <c r="A24" s="3" t="s">
        <v>34</v>
      </c>
      <c r="B24" s="30" t="s">
        <v>126</v>
      </c>
      <c r="C24" s="3" t="s">
        <v>120</v>
      </c>
      <c r="D24" s="7">
        <v>7</v>
      </c>
      <c r="E24" s="6"/>
      <c r="F24" s="6"/>
      <c r="G24" s="6"/>
      <c r="H24" s="6"/>
      <c r="I24" s="6"/>
      <c r="J24" s="6"/>
      <c r="K24" s="6"/>
      <c r="L24" s="6"/>
      <c r="M24" s="6"/>
      <c r="N24" s="6"/>
      <c r="O24" s="6"/>
      <c r="P24" s="7">
        <f>D24-SUM(E24:O24)</f>
        <v>7</v>
      </c>
      <c r="Q24" s="3" t="str">
        <f>VLOOKUP(Table1[[#This Row],[Client]],'Client List'!A:D,4,FALSE)</f>
        <v>No fish (shellfish is okay).Loves the gumbo is not fond of the meatloaf with mac &amp; cheese</v>
      </c>
    </row>
    <row r="25" spans="1:17" x14ac:dyDescent="0.3">
      <c r="A25" s="3" t="s">
        <v>33</v>
      </c>
      <c r="B25" s="3" t="s">
        <v>127</v>
      </c>
      <c r="C25" s="3" t="s">
        <v>121</v>
      </c>
      <c r="D25" s="7">
        <v>7</v>
      </c>
      <c r="E25" s="6"/>
      <c r="F25" s="6"/>
      <c r="G25" s="6"/>
      <c r="H25" s="6"/>
      <c r="I25" s="6"/>
      <c r="J25" s="6"/>
      <c r="K25" s="6"/>
      <c r="L25" s="6"/>
      <c r="M25" s="6"/>
      <c r="N25" s="6"/>
      <c r="O25" s="6"/>
      <c r="P25" s="7">
        <f>D25-SUM(E25:O25)</f>
        <v>7</v>
      </c>
      <c r="Q25" s="3" t="str">
        <f>VLOOKUP(Table1[[#This Row],[Client]],'Client List'!A:D,4,FALSE)</f>
        <v>No preferences</v>
      </c>
    </row>
    <row r="26" spans="1:17" x14ac:dyDescent="0.3">
      <c r="A26" s="3" t="s">
        <v>34</v>
      </c>
      <c r="B26" s="3" t="s">
        <v>126</v>
      </c>
      <c r="C26" s="3" t="s">
        <v>122</v>
      </c>
      <c r="D26" s="7">
        <v>7</v>
      </c>
      <c r="E26" s="6"/>
      <c r="F26" s="6"/>
      <c r="G26" s="6"/>
      <c r="H26" s="6"/>
      <c r="I26" s="6"/>
      <c r="J26" s="6"/>
      <c r="K26" s="6"/>
      <c r="L26" s="6"/>
      <c r="M26" s="6"/>
      <c r="N26" s="6"/>
      <c r="O26" s="6"/>
      <c r="P26" s="7">
        <f>D26-SUM(E26:O26)</f>
        <v>7</v>
      </c>
      <c r="Q26" s="3" t="str">
        <f>VLOOKUP(Table1[[#This Row],[Client]],'Client List'!A:D,4,FALSE)</f>
        <v>No pork, no seafood, limit rice.</v>
      </c>
    </row>
    <row r="27" spans="1:17" x14ac:dyDescent="0.3">
      <c r="A27" s="3" t="s">
        <v>34</v>
      </c>
      <c r="B27" s="3" t="s">
        <v>126</v>
      </c>
      <c r="C27" s="3" t="s">
        <v>124</v>
      </c>
      <c r="D27" s="7">
        <v>7</v>
      </c>
      <c r="E27" s="6"/>
      <c r="F27" s="6"/>
      <c r="G27" s="6"/>
      <c r="H27" s="6"/>
      <c r="I27" s="6"/>
      <c r="J27" s="6"/>
      <c r="K27" s="6"/>
      <c r="L27" s="6"/>
      <c r="M27" s="6"/>
      <c r="N27" s="6"/>
      <c r="O27" s="6"/>
      <c r="P27" s="7">
        <f>D27-SUM(E27:O27)</f>
        <v>7</v>
      </c>
      <c r="Q27" s="3" t="str">
        <f>VLOOKUP(Table1[[#This Row],[Client]],'Client List'!A:D,4,FALSE)</f>
        <v>No preferences</v>
      </c>
    </row>
    <row r="28" spans="1:17" x14ac:dyDescent="0.3">
      <c r="A28" s="3" t="s">
        <v>33</v>
      </c>
      <c r="B28" s="3" t="s">
        <v>126</v>
      </c>
      <c r="C28" s="3" t="s">
        <v>125</v>
      </c>
      <c r="D28" s="7">
        <v>7</v>
      </c>
      <c r="E28" s="6"/>
      <c r="F28" s="6"/>
      <c r="G28" s="6"/>
      <c r="H28" s="6"/>
      <c r="I28" s="6"/>
      <c r="J28" s="6"/>
      <c r="K28" s="6"/>
      <c r="L28" s="6"/>
      <c r="M28" s="6"/>
      <c r="N28" s="6"/>
      <c r="O28" s="6"/>
      <c r="P28" s="7">
        <f>D28-SUM(E28:O28)</f>
        <v>7</v>
      </c>
      <c r="Q28" s="3" t="str">
        <f>VLOOKUP(Table1[[#This Row],[Client]],'Client List'!A:D,4,FALSE)</f>
        <v>No preferences</v>
      </c>
    </row>
  </sheetData>
  <sheetProtection insertColumns="0" deleteColumns="0" selectLockedCells="1" sort="0" autoFilter="0" pivotTables="0"/>
  <sortState xmlns:xlrd2="http://schemas.microsoft.com/office/spreadsheetml/2017/richdata2" ref="D4:O4">
    <sortCondition ref="D4"/>
  </sortState>
  <mergeCells count="1">
    <mergeCell ref="D1:O1"/>
  </mergeCells>
  <phoneticPr fontId="6" type="noConversion"/>
  <conditionalFormatting sqref="E7:O7">
    <cfRule type="cellIs" dxfId="7" priority="13" operator="lessThan">
      <formula>0</formula>
    </cfRule>
  </conditionalFormatting>
  <conditionalFormatting sqref="E4:O4">
    <cfRule type="cellIs" dxfId="6" priority="10" operator="between">
      <formula>0</formula>
      <formula>10</formula>
    </cfRule>
    <cfRule type="cellIs" dxfId="5" priority="11" operator="greaterThanOrEqual">
      <formula>10</formula>
    </cfRule>
    <cfRule type="cellIs" dxfId="4" priority="12" operator="lessThanOrEqual">
      <formula>0</formula>
    </cfRule>
  </conditionalFormatting>
  <conditionalFormatting sqref="P8:P28">
    <cfRule type="cellIs" dxfId="3" priority="2" operator="equal">
      <formula>0</formula>
    </cfRule>
    <cfRule type="cellIs" dxfId="2" priority="3" operator="greaterThan">
      <formula>0</formula>
    </cfRule>
    <cfRule type="cellIs" dxfId="1" priority="4" operator="lessThan">
      <formula>0</formula>
    </cfRule>
  </conditionalFormatting>
  <pageMargins left="0.7" right="0.7" top="0.75" bottom="0.75" header="0.3" footer="0.3"/>
  <pageSetup orientation="portrait" r:id="rId1"/>
  <ignoredErrors>
    <ignoredError sqref="D4" formula="1"/>
    <ignoredError sqref="D2"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learSelection">
                <anchor moveWithCells="1" sizeWithCells="1">
                  <from>
                    <xdr:col>16</xdr:col>
                    <xdr:colOff>281940</xdr:colOff>
                    <xdr:row>6</xdr:row>
                    <xdr:rowOff>320040</xdr:rowOff>
                  </from>
                  <to>
                    <xdr:col>16</xdr:col>
                    <xdr:colOff>1196340</xdr:colOff>
                    <xdr:row>6</xdr:row>
                    <xdr:rowOff>777240</xdr:rowOff>
                  </to>
                </anchor>
              </controlPr>
            </control>
          </mc:Choice>
        </mc:AlternateContent>
        <mc:AlternateContent xmlns:mc="http://schemas.openxmlformats.org/markup-compatibility/2006">
          <mc:Choice Requires="x14">
            <control shapeId="2050" r:id="rId5" name="Button 2">
              <controlPr defaultSize="0" print="0" autoFill="0" autoPict="0" macro="[0]!DeleteMeals">
                <anchor moveWithCells="1" sizeWithCells="1">
                  <from>
                    <xdr:col>16</xdr:col>
                    <xdr:colOff>281940</xdr:colOff>
                    <xdr:row>2</xdr:row>
                    <xdr:rowOff>137160</xdr:rowOff>
                  </from>
                  <to>
                    <xdr:col>16</xdr:col>
                    <xdr:colOff>1196340</xdr:colOff>
                    <xdr:row>5</xdr:row>
                    <xdr:rowOff>0</xdr:rowOff>
                  </to>
                </anchor>
              </controlPr>
            </control>
          </mc:Choice>
        </mc:AlternateContent>
        <mc:AlternateContent xmlns:mc="http://schemas.openxmlformats.org/markup-compatibility/2006">
          <mc:Choice Requires="x14">
            <control shapeId="2051" r:id="rId6" name="Button 3">
              <controlPr defaultSize="0" print="0" autoFill="0" autoPict="0" macro="[0]!UpdateInventory_and_SendEmail_Generic">
                <anchor moveWithCells="1" sizeWithCells="1">
                  <from>
                    <xdr:col>15</xdr:col>
                    <xdr:colOff>68580</xdr:colOff>
                    <xdr:row>0</xdr:row>
                    <xdr:rowOff>152400</xdr:rowOff>
                  </from>
                  <to>
                    <xdr:col>16</xdr:col>
                    <xdr:colOff>373380</xdr:colOff>
                    <xdr:row>2</xdr:row>
                    <xdr:rowOff>53340</xdr:rowOff>
                  </to>
                </anchor>
              </controlPr>
            </control>
          </mc:Choice>
        </mc:AlternateContent>
        <mc:AlternateContent xmlns:mc="http://schemas.openxmlformats.org/markup-compatibility/2006">
          <mc:Choice Requires="x14">
            <control shapeId="2052" r:id="rId7" name="Button 4">
              <controlPr defaultSize="0" print="0" autoFill="0" autoPict="0" macro="[0]!UpdateQuantities">
                <anchor moveWithCells="1" sizeWithCells="1">
                  <from>
                    <xdr:col>15</xdr:col>
                    <xdr:colOff>68580</xdr:colOff>
                    <xdr:row>2</xdr:row>
                    <xdr:rowOff>137160</xdr:rowOff>
                  </from>
                  <to>
                    <xdr:col>16</xdr:col>
                    <xdr:colOff>144780</xdr:colOff>
                    <xdr:row>5</xdr:row>
                    <xdr:rowOff>0</xdr:rowOff>
                  </to>
                </anchor>
              </controlPr>
            </control>
          </mc:Choice>
        </mc:AlternateContent>
        <mc:AlternateContent xmlns:mc="http://schemas.openxmlformats.org/markup-compatibility/2006">
          <mc:Choice Requires="x14">
            <control shapeId="2053" r:id="rId8" name="Button 5">
              <controlPr defaultSize="0" print="0" autoFill="0" autoPict="0" macro="[0]!AddMeal">
                <anchor moveWithCells="1" sizeWithCells="1">
                  <from>
                    <xdr:col>15</xdr:col>
                    <xdr:colOff>68580</xdr:colOff>
                    <xdr:row>6</xdr:row>
                    <xdr:rowOff>320040</xdr:rowOff>
                  </from>
                  <to>
                    <xdr:col>16</xdr:col>
                    <xdr:colOff>144780</xdr:colOff>
                    <xdr:row>6</xdr:row>
                    <xdr:rowOff>777240</xdr:rowOff>
                  </to>
                </anchor>
              </controlPr>
            </control>
          </mc:Choice>
        </mc:AlternateContent>
      </controls>
    </mc:Choice>
  </mc:AlternateContent>
  <tableParts count="1">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E96577E4-D2FB-4BBC-8E0B-3C11FE3ED191}">
          <x14:formula1>
            <xm:f>Volunteers!$A$2:$A$1048576</xm:f>
          </x14:formula1>
          <xm:sqref>B22:B28</xm:sqref>
        </x14:dataValidation>
      </x14:dataValidations>
    </ext>
    <ext xmlns:x15="http://schemas.microsoft.com/office/spreadsheetml/2010/11/main" uri="{3A4CF648-6AED-40f4-86FF-DC5316D8AED3}">
      <x14:slicerList xmlns:x14="http://schemas.microsoft.com/office/spreadsheetml/2009/9/main">
        <x14:slicer r:id="rId10"/>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C8482-968A-465E-BCE5-917C3E683974}">
  <sheetPr codeName="Sheet4"/>
  <dimension ref="A3:G15"/>
  <sheetViews>
    <sheetView workbookViewId="0">
      <selection activeCell="E1" sqref="E1:Q100"/>
    </sheetView>
  </sheetViews>
  <sheetFormatPr defaultRowHeight="14.4" x14ac:dyDescent="0.3"/>
  <cols>
    <col min="1" max="1" width="60.6640625" bestFit="1" customWidth="1"/>
    <col min="2" max="2" width="12.44140625" bestFit="1" customWidth="1"/>
    <col min="4" max="4" width="11.77734375" bestFit="1" customWidth="1"/>
  </cols>
  <sheetData>
    <row r="3" spans="1:7" x14ac:dyDescent="0.3">
      <c r="B3" t="s">
        <v>24</v>
      </c>
      <c r="C3" t="s">
        <v>25</v>
      </c>
      <c r="D3" t="s">
        <v>26</v>
      </c>
    </row>
    <row r="4" spans="1:7" x14ac:dyDescent="0.3">
      <c r="A4" t="s">
        <v>23</v>
      </c>
      <c r="B4">
        <v>444</v>
      </c>
      <c r="C4">
        <v>0</v>
      </c>
      <c r="D4">
        <v>444</v>
      </c>
      <c r="G4" s="4"/>
    </row>
    <row r="5" spans="1:7" x14ac:dyDescent="0.3">
      <c r="A5" t="s">
        <v>81</v>
      </c>
      <c r="B5">
        <v>12</v>
      </c>
      <c r="C5">
        <v>0</v>
      </c>
      <c r="D5">
        <v>12</v>
      </c>
    </row>
    <row r="6" spans="1:7" x14ac:dyDescent="0.3">
      <c r="A6" t="s">
        <v>87</v>
      </c>
      <c r="B6">
        <v>28</v>
      </c>
      <c r="C6">
        <v>0</v>
      </c>
      <c r="D6">
        <v>28</v>
      </c>
    </row>
    <row r="7" spans="1:7" x14ac:dyDescent="0.3">
      <c r="A7" t="s">
        <v>90</v>
      </c>
      <c r="B7">
        <v>75</v>
      </c>
      <c r="C7">
        <v>0</v>
      </c>
      <c r="D7">
        <v>75</v>
      </c>
    </row>
    <row r="8" spans="1:7" x14ac:dyDescent="0.3">
      <c r="A8" t="s">
        <v>89</v>
      </c>
      <c r="B8">
        <v>78</v>
      </c>
      <c r="C8">
        <v>0</v>
      </c>
      <c r="D8">
        <v>78</v>
      </c>
    </row>
    <row r="9" spans="1:7" x14ac:dyDescent="0.3">
      <c r="A9" t="s">
        <v>88</v>
      </c>
      <c r="B9">
        <v>58</v>
      </c>
      <c r="C9">
        <v>0</v>
      </c>
      <c r="D9">
        <v>58</v>
      </c>
    </row>
    <row r="10" spans="1:7" x14ac:dyDescent="0.3">
      <c r="A10" t="s">
        <v>86</v>
      </c>
      <c r="B10">
        <v>28</v>
      </c>
      <c r="C10">
        <v>0</v>
      </c>
      <c r="D10">
        <v>28</v>
      </c>
    </row>
    <row r="11" spans="1:7" x14ac:dyDescent="0.3">
      <c r="A11" t="s">
        <v>85</v>
      </c>
      <c r="B11">
        <v>45</v>
      </c>
      <c r="C11">
        <v>0</v>
      </c>
      <c r="D11">
        <v>45</v>
      </c>
    </row>
    <row r="12" spans="1:7" x14ac:dyDescent="0.3">
      <c r="A12" t="s">
        <v>84</v>
      </c>
      <c r="B12">
        <v>23</v>
      </c>
      <c r="C12">
        <v>0</v>
      </c>
      <c r="D12">
        <v>23</v>
      </c>
    </row>
    <row r="13" spans="1:7" x14ac:dyDescent="0.3">
      <c r="A13" t="s">
        <v>83</v>
      </c>
      <c r="B13">
        <v>27</v>
      </c>
      <c r="C13">
        <v>0</v>
      </c>
      <c r="D13">
        <v>27</v>
      </c>
    </row>
    <row r="14" spans="1:7" x14ac:dyDescent="0.3">
      <c r="A14" t="s">
        <v>82</v>
      </c>
      <c r="B14">
        <v>52</v>
      </c>
      <c r="C14">
        <v>0</v>
      </c>
      <c r="D14">
        <v>52</v>
      </c>
    </row>
    <row r="15" spans="1:7" x14ac:dyDescent="0.3">
      <c r="A15" t="s">
        <v>79</v>
      </c>
      <c r="B15">
        <v>18</v>
      </c>
      <c r="C15">
        <v>0</v>
      </c>
      <c r="D15">
        <v>18</v>
      </c>
    </row>
  </sheetData>
  <sortState xmlns:xlrd2="http://schemas.microsoft.com/office/spreadsheetml/2017/richdata2" ref="A4:D15">
    <sortCondition ref="D4:D15"/>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endEmail_Generic">
                <anchor moveWithCells="1" sizeWithCells="1">
                  <from>
                    <xdr:col>5</xdr:col>
                    <xdr:colOff>167640</xdr:colOff>
                    <xdr:row>1</xdr:row>
                    <xdr:rowOff>0</xdr:rowOff>
                  </from>
                  <to>
                    <xdr:col>7</xdr:col>
                    <xdr:colOff>403860</xdr:colOff>
                    <xdr:row>4</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A32B-D99C-4736-8F3E-AAA8B7C0DD18}">
  <sheetPr codeName="Sheet3"/>
  <dimension ref="A1:F36"/>
  <sheetViews>
    <sheetView workbookViewId="0">
      <selection activeCell="B5" sqref="B5"/>
    </sheetView>
  </sheetViews>
  <sheetFormatPr defaultColWidth="18.5546875" defaultRowHeight="14.4" x14ac:dyDescent="0.3"/>
  <cols>
    <col min="1" max="1" width="18.21875" bestFit="1" customWidth="1"/>
    <col min="2" max="2" width="13.77734375" bestFit="1" customWidth="1"/>
    <col min="3" max="3" width="19.5546875" bestFit="1" customWidth="1"/>
    <col min="4" max="4" width="44.21875" customWidth="1"/>
    <col min="5" max="5" width="51.109375" style="4" customWidth="1"/>
    <col min="6" max="6" width="74.44140625" style="4" customWidth="1"/>
  </cols>
  <sheetData>
    <row r="1" spans="1:6" x14ac:dyDescent="0.3">
      <c r="A1" t="s">
        <v>30</v>
      </c>
      <c r="B1" t="s">
        <v>29</v>
      </c>
      <c r="C1" t="s">
        <v>35</v>
      </c>
      <c r="D1" s="4" t="s">
        <v>50</v>
      </c>
      <c r="E1"/>
      <c r="F1"/>
    </row>
    <row r="2" spans="1:6" ht="43.2" x14ac:dyDescent="0.3">
      <c r="A2" t="s">
        <v>91</v>
      </c>
      <c r="B2" t="s">
        <v>127</v>
      </c>
      <c r="C2">
        <v>7</v>
      </c>
      <c r="D2" s="4" t="s">
        <v>49</v>
      </c>
      <c r="E2"/>
      <c r="F2"/>
    </row>
    <row r="3" spans="1:6" ht="28.8" x14ac:dyDescent="0.3">
      <c r="A3" t="s">
        <v>92</v>
      </c>
      <c r="B3" t="s">
        <v>127</v>
      </c>
      <c r="C3">
        <v>7</v>
      </c>
      <c r="D3" s="4" t="s">
        <v>46</v>
      </c>
      <c r="E3"/>
      <c r="F3"/>
    </row>
    <row r="4" spans="1:6" x14ac:dyDescent="0.3">
      <c r="A4" t="s">
        <v>93</v>
      </c>
      <c r="B4" t="s">
        <v>127</v>
      </c>
      <c r="C4">
        <v>0</v>
      </c>
      <c r="D4" s="4" t="s">
        <v>42</v>
      </c>
      <c r="E4"/>
      <c r="F4"/>
    </row>
    <row r="5" spans="1:6" ht="43.2" x14ac:dyDescent="0.3">
      <c r="A5" t="s">
        <v>94</v>
      </c>
      <c r="B5" t="s">
        <v>128</v>
      </c>
      <c r="C5">
        <v>7</v>
      </c>
      <c r="D5" s="4" t="s">
        <v>41</v>
      </c>
      <c r="E5"/>
      <c r="F5"/>
    </row>
    <row r="6" spans="1:6" x14ac:dyDescent="0.3">
      <c r="A6" t="s">
        <v>95</v>
      </c>
      <c r="B6" t="s">
        <v>130</v>
      </c>
      <c r="C6">
        <v>7</v>
      </c>
      <c r="D6" s="4" t="s">
        <v>39</v>
      </c>
      <c r="E6"/>
      <c r="F6"/>
    </row>
    <row r="7" spans="1:6" x14ac:dyDescent="0.3">
      <c r="A7" t="s">
        <v>96</v>
      </c>
      <c r="B7" t="s">
        <v>128</v>
      </c>
      <c r="C7">
        <v>7</v>
      </c>
      <c r="D7" s="4" t="s">
        <v>44</v>
      </c>
      <c r="E7"/>
      <c r="F7"/>
    </row>
    <row r="8" spans="1:6" x14ac:dyDescent="0.3">
      <c r="A8" t="s">
        <v>97</v>
      </c>
      <c r="B8" t="s">
        <v>127</v>
      </c>
      <c r="C8">
        <v>7</v>
      </c>
      <c r="D8" s="4" t="s">
        <v>38</v>
      </c>
      <c r="E8"/>
      <c r="F8"/>
    </row>
    <row r="9" spans="1:6" x14ac:dyDescent="0.3">
      <c r="A9" t="s">
        <v>98</v>
      </c>
      <c r="B9" t="s">
        <v>128</v>
      </c>
      <c r="C9">
        <v>7</v>
      </c>
      <c r="D9" s="4" t="s">
        <v>38</v>
      </c>
      <c r="E9"/>
      <c r="F9"/>
    </row>
    <row r="10" spans="1:6" x14ac:dyDescent="0.3">
      <c r="A10" t="s">
        <v>99</v>
      </c>
      <c r="B10" t="s">
        <v>129</v>
      </c>
      <c r="C10">
        <v>7</v>
      </c>
      <c r="D10" s="4" t="s">
        <v>38</v>
      </c>
      <c r="E10"/>
      <c r="F10"/>
    </row>
    <row r="11" spans="1:6" x14ac:dyDescent="0.3">
      <c r="A11" t="s">
        <v>100</v>
      </c>
      <c r="B11" t="s">
        <v>130</v>
      </c>
      <c r="C11">
        <v>7</v>
      </c>
      <c r="D11" s="4" t="s">
        <v>36</v>
      </c>
      <c r="E11"/>
      <c r="F11"/>
    </row>
    <row r="12" spans="1:6" ht="28.8" x14ac:dyDescent="0.3">
      <c r="A12" t="s">
        <v>101</v>
      </c>
      <c r="B12" t="s">
        <v>131</v>
      </c>
      <c r="C12">
        <v>7</v>
      </c>
      <c r="D12" s="4" t="s">
        <v>37</v>
      </c>
      <c r="E12"/>
      <c r="F12"/>
    </row>
    <row r="13" spans="1:6" x14ac:dyDescent="0.3">
      <c r="A13" t="s">
        <v>102</v>
      </c>
      <c r="B13" t="s">
        <v>127</v>
      </c>
      <c r="C13">
        <v>7</v>
      </c>
      <c r="D13" s="4" t="s">
        <v>45</v>
      </c>
      <c r="E13"/>
      <c r="F13"/>
    </row>
    <row r="14" spans="1:6" ht="28.8" x14ac:dyDescent="0.3">
      <c r="A14" t="s">
        <v>103</v>
      </c>
      <c r="B14" t="s">
        <v>128</v>
      </c>
      <c r="C14">
        <v>7</v>
      </c>
      <c r="D14" s="4" t="s">
        <v>40</v>
      </c>
      <c r="E14"/>
      <c r="F14"/>
    </row>
    <row r="15" spans="1:6" ht="28.8" x14ac:dyDescent="0.3">
      <c r="A15" t="s">
        <v>104</v>
      </c>
      <c r="B15" t="s">
        <v>127</v>
      </c>
      <c r="C15">
        <v>7</v>
      </c>
      <c r="D15" s="4" t="s">
        <v>43</v>
      </c>
      <c r="E15"/>
      <c r="F15"/>
    </row>
    <row r="16" spans="1:6" x14ac:dyDescent="0.3">
      <c r="A16" t="s">
        <v>105</v>
      </c>
      <c r="B16" t="s">
        <v>131</v>
      </c>
      <c r="C16">
        <v>7</v>
      </c>
      <c r="D16" s="4" t="s">
        <v>47</v>
      </c>
      <c r="E16"/>
      <c r="F16"/>
    </row>
    <row r="17" spans="1:6" ht="28.8" x14ac:dyDescent="0.3">
      <c r="A17" t="s">
        <v>106</v>
      </c>
      <c r="B17" t="s">
        <v>127</v>
      </c>
      <c r="C17">
        <v>7</v>
      </c>
      <c r="D17" s="4" t="s">
        <v>48</v>
      </c>
      <c r="E17"/>
      <c r="F17"/>
    </row>
    <row r="18" spans="1:6" x14ac:dyDescent="0.3">
      <c r="A18" t="s">
        <v>107</v>
      </c>
      <c r="B18" t="s">
        <v>127</v>
      </c>
      <c r="C18">
        <v>4</v>
      </c>
      <c r="D18" s="4" t="s">
        <v>51</v>
      </c>
      <c r="E18"/>
      <c r="F18"/>
    </row>
    <row r="19" spans="1:6" x14ac:dyDescent="0.3">
      <c r="A19" t="s">
        <v>108</v>
      </c>
      <c r="B19" t="s">
        <v>128</v>
      </c>
      <c r="C19">
        <v>7</v>
      </c>
      <c r="D19" s="4" t="s">
        <v>51</v>
      </c>
      <c r="E19"/>
      <c r="F19"/>
    </row>
    <row r="20" spans="1:6" x14ac:dyDescent="0.3">
      <c r="A20" t="s">
        <v>109</v>
      </c>
      <c r="B20" t="s">
        <v>128</v>
      </c>
      <c r="C20">
        <v>7</v>
      </c>
      <c r="D20" s="4" t="s">
        <v>51</v>
      </c>
      <c r="E20"/>
      <c r="F20"/>
    </row>
    <row r="21" spans="1:6" x14ac:dyDescent="0.3">
      <c r="A21" t="s">
        <v>110</v>
      </c>
      <c r="B21" t="s">
        <v>128</v>
      </c>
      <c r="C21">
        <v>7</v>
      </c>
      <c r="D21" s="4" t="s">
        <v>51</v>
      </c>
      <c r="E21"/>
      <c r="F21"/>
    </row>
    <row r="22" spans="1:6" x14ac:dyDescent="0.3">
      <c r="A22" t="s">
        <v>111</v>
      </c>
      <c r="B22" t="s">
        <v>128</v>
      </c>
      <c r="C22">
        <v>7</v>
      </c>
      <c r="D22" s="4" t="s">
        <v>51</v>
      </c>
      <c r="E22"/>
      <c r="F22"/>
    </row>
    <row r="23" spans="1:6" x14ac:dyDescent="0.3">
      <c r="A23" t="s">
        <v>112</v>
      </c>
      <c r="B23" t="s">
        <v>128</v>
      </c>
      <c r="C23">
        <v>7</v>
      </c>
      <c r="D23" s="4" t="s">
        <v>51</v>
      </c>
      <c r="E23"/>
      <c r="F23"/>
    </row>
    <row r="24" spans="1:6" x14ac:dyDescent="0.3">
      <c r="A24" t="s">
        <v>113</v>
      </c>
      <c r="B24" t="s">
        <v>127</v>
      </c>
      <c r="C24">
        <v>7</v>
      </c>
      <c r="D24" s="4" t="s">
        <v>51</v>
      </c>
      <c r="E24"/>
      <c r="F24"/>
    </row>
    <row r="25" spans="1:6" x14ac:dyDescent="0.3">
      <c r="A25" t="s">
        <v>114</v>
      </c>
      <c r="B25" t="s">
        <v>126</v>
      </c>
      <c r="C25">
        <v>7</v>
      </c>
      <c r="D25" s="4" t="s">
        <v>51</v>
      </c>
      <c r="E25"/>
      <c r="F25"/>
    </row>
    <row r="26" spans="1:6" x14ac:dyDescent="0.3">
      <c r="A26" t="s">
        <v>115</v>
      </c>
      <c r="B26" t="s">
        <v>127</v>
      </c>
      <c r="C26">
        <v>7</v>
      </c>
      <c r="D26" s="4" t="s">
        <v>51</v>
      </c>
      <c r="E26"/>
      <c r="F26"/>
    </row>
    <row r="27" spans="1:6" x14ac:dyDescent="0.3">
      <c r="A27" t="s">
        <v>116</v>
      </c>
      <c r="B27" t="s">
        <v>129</v>
      </c>
      <c r="C27">
        <v>7</v>
      </c>
      <c r="D27" s="4" t="s">
        <v>51</v>
      </c>
      <c r="E27"/>
      <c r="F27"/>
    </row>
    <row r="28" spans="1:6" x14ac:dyDescent="0.3">
      <c r="A28" t="s">
        <v>117</v>
      </c>
      <c r="B28" t="s">
        <v>129</v>
      </c>
      <c r="C28">
        <v>7</v>
      </c>
      <c r="D28" s="4" t="s">
        <v>51</v>
      </c>
      <c r="E28"/>
      <c r="F28"/>
    </row>
    <row r="29" spans="1:6" x14ac:dyDescent="0.3">
      <c r="A29" t="s">
        <v>118</v>
      </c>
      <c r="B29" t="s">
        <v>127</v>
      </c>
      <c r="C29">
        <v>7</v>
      </c>
      <c r="D29" s="4" t="s">
        <v>75</v>
      </c>
      <c r="E29"/>
      <c r="F29"/>
    </row>
    <row r="30" spans="1:6" ht="57.6" x14ac:dyDescent="0.3">
      <c r="A30" t="s">
        <v>119</v>
      </c>
      <c r="B30" t="s">
        <v>126</v>
      </c>
      <c r="C30">
        <v>7</v>
      </c>
      <c r="D30" s="4" t="s">
        <v>76</v>
      </c>
      <c r="E30"/>
      <c r="F30"/>
    </row>
    <row r="31" spans="1:6" ht="28.8" x14ac:dyDescent="0.3">
      <c r="A31" t="s">
        <v>120</v>
      </c>
      <c r="B31" t="s">
        <v>126</v>
      </c>
      <c r="C31">
        <v>7</v>
      </c>
      <c r="D31" s="4" t="s">
        <v>80</v>
      </c>
      <c r="E31"/>
      <c r="F31"/>
    </row>
    <row r="32" spans="1:6" x14ac:dyDescent="0.3">
      <c r="A32" t="s">
        <v>121</v>
      </c>
      <c r="B32" t="s">
        <v>127</v>
      </c>
      <c r="C32">
        <v>7</v>
      </c>
      <c r="D32" s="4" t="s">
        <v>51</v>
      </c>
      <c r="E32"/>
      <c r="F32"/>
    </row>
    <row r="33" spans="1:6" x14ac:dyDescent="0.3">
      <c r="A33" t="s">
        <v>122</v>
      </c>
      <c r="B33" t="s">
        <v>126</v>
      </c>
      <c r="C33">
        <v>7</v>
      </c>
      <c r="D33" s="4" t="s">
        <v>77</v>
      </c>
      <c r="E33"/>
      <c r="F33"/>
    </row>
    <row r="34" spans="1:6" x14ac:dyDescent="0.3">
      <c r="A34" t="s">
        <v>123</v>
      </c>
      <c r="B34" t="s">
        <v>126</v>
      </c>
      <c r="C34">
        <v>7</v>
      </c>
      <c r="D34" s="4" t="s">
        <v>44</v>
      </c>
      <c r="E34"/>
      <c r="F34"/>
    </row>
    <row r="35" spans="1:6" x14ac:dyDescent="0.3">
      <c r="A35" t="s">
        <v>124</v>
      </c>
      <c r="B35" t="s">
        <v>126</v>
      </c>
      <c r="C35">
        <v>7</v>
      </c>
      <c r="D35" s="4" t="s">
        <v>51</v>
      </c>
      <c r="E35"/>
      <c r="F35"/>
    </row>
    <row r="36" spans="1:6" x14ac:dyDescent="0.3">
      <c r="A36" t="s">
        <v>125</v>
      </c>
      <c r="B36" t="s">
        <v>126</v>
      </c>
      <c r="C36">
        <v>7</v>
      </c>
      <c r="D36" s="4" t="s">
        <v>51</v>
      </c>
      <c r="E36"/>
      <c r="F36"/>
    </row>
  </sheetData>
  <conditionalFormatting sqref="A1 A37:A1048576">
    <cfRule type="duplicateValues" dxfId="0" priority="1"/>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9225497B-E5D9-4A87-A2DD-3A4756D09D16}">
          <x14:formula1>
            <xm:f>Volunteers!#REF!</xm:f>
          </x14:formula1>
          <xm:sqref>B37:B1048576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73786-117D-4168-A7A2-E880378B7232}">
  <sheetPr codeName="Sheet6"/>
  <dimension ref="A1:A14"/>
  <sheetViews>
    <sheetView workbookViewId="0">
      <selection activeCell="H20" sqref="H20"/>
    </sheetView>
  </sheetViews>
  <sheetFormatPr defaultRowHeight="14.4" x14ac:dyDescent="0.3"/>
  <cols>
    <col min="1" max="1" width="12.33203125" bestFit="1" customWidth="1"/>
  </cols>
  <sheetData>
    <row r="1" spans="1:1" x14ac:dyDescent="0.3">
      <c r="A1" s="24" t="s">
        <v>78</v>
      </c>
    </row>
    <row r="2" spans="1:1" x14ac:dyDescent="0.3">
      <c r="A2" t="s">
        <v>139</v>
      </c>
    </row>
    <row r="3" spans="1:1" x14ac:dyDescent="0.3">
      <c r="A3" t="s">
        <v>127</v>
      </c>
    </row>
    <row r="4" spans="1:1" x14ac:dyDescent="0.3">
      <c r="A4" t="s">
        <v>128</v>
      </c>
    </row>
    <row r="5" spans="1:1" x14ac:dyDescent="0.3">
      <c r="A5" t="s">
        <v>129</v>
      </c>
    </row>
    <row r="6" spans="1:1" x14ac:dyDescent="0.3">
      <c r="A6" t="s">
        <v>130</v>
      </c>
    </row>
    <row r="7" spans="1:1" x14ac:dyDescent="0.3">
      <c r="A7" t="s">
        <v>131</v>
      </c>
    </row>
    <row r="8" spans="1:1" x14ac:dyDescent="0.3">
      <c r="A8" t="s">
        <v>132</v>
      </c>
    </row>
    <row r="9" spans="1:1" x14ac:dyDescent="0.3">
      <c r="A9" t="s">
        <v>133</v>
      </c>
    </row>
    <row r="10" spans="1:1" x14ac:dyDescent="0.3">
      <c r="A10" t="s">
        <v>134</v>
      </c>
    </row>
    <row r="11" spans="1:1" x14ac:dyDescent="0.3">
      <c r="A11" t="s">
        <v>135</v>
      </c>
    </row>
    <row r="12" spans="1:1" x14ac:dyDescent="0.3">
      <c r="A12" t="s">
        <v>136</v>
      </c>
    </row>
    <row r="13" spans="1:1" x14ac:dyDescent="0.3">
      <c r="A13" t="s">
        <v>137</v>
      </c>
    </row>
    <row r="14" spans="1:1" x14ac:dyDescent="0.3">
      <c r="A14" t="s">
        <v>138</v>
      </c>
    </row>
  </sheetData>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E3EA014A8C76148A614E40E9038C1E9" ma:contentTypeVersion="12" ma:contentTypeDescription="Create a new document." ma:contentTypeScope="" ma:versionID="196a11d3a3c75d9bab81bd14056b33a8">
  <xsd:schema xmlns:xsd="http://www.w3.org/2001/XMLSchema" xmlns:xs="http://www.w3.org/2001/XMLSchema" xmlns:p="http://schemas.microsoft.com/office/2006/metadata/properties" xmlns:ns2="ff121edb-4b4e-440d-903e-4a3b480cd042" xmlns:ns3="75f42d90-dff7-482a-9625-fcb509741aa9" targetNamespace="http://schemas.microsoft.com/office/2006/metadata/properties" ma:root="true" ma:fieldsID="6835d486c1703db53267a838f1f50b53" ns2:_="" ns3:_="">
    <xsd:import namespace="ff121edb-4b4e-440d-903e-4a3b480cd042"/>
    <xsd:import namespace="75f42d90-dff7-482a-9625-fcb509741aa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121edb-4b4e-440d-903e-4a3b480cd04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0a64c2d4-5c8d-4160-b271-14cdfdbb387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5f42d90-dff7-482a-9625-fcb509741aa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a93374f-2cdf-467a-a96d-288d5b470ce4}" ma:internalName="TaxCatchAll" ma:showField="CatchAllData" ma:web="75f42d90-dff7-482a-9625-fcb509741aa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ff121edb-4b4e-440d-903e-4a3b480cd042">
      <Terms xmlns="http://schemas.microsoft.com/office/infopath/2007/PartnerControls"/>
    </lcf76f155ced4ddcb4097134ff3c332f>
    <TaxCatchAll xmlns="75f42d90-dff7-482a-9625-fcb509741aa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0F2345C-31A4-40FD-AC51-98D2C588588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121edb-4b4e-440d-903e-4a3b480cd042"/>
    <ds:schemaRef ds:uri="75f42d90-dff7-482a-9625-fcb509741aa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177DD27-8A28-4DAB-BA99-92D3D3005091}">
  <ds:schemaRefs>
    <ds:schemaRef ds:uri="http://purl.org/dc/elements/1.1/"/>
    <ds:schemaRef ds:uri="http://schemas.microsoft.com/office/2006/documentManagement/types"/>
    <ds:schemaRef ds:uri="http://purl.org/dc/dcmitype/"/>
    <ds:schemaRef ds:uri="http://schemas.microsoft.com/office/2006/metadata/properties"/>
    <ds:schemaRef ds:uri="ff121edb-4b4e-440d-903e-4a3b480cd042"/>
    <ds:schemaRef ds:uri="http://purl.org/dc/terms/"/>
    <ds:schemaRef ds:uri="http://schemas.microsoft.com/office/infopath/2007/PartnerControls"/>
    <ds:schemaRef ds:uri="http://schemas.openxmlformats.org/package/2006/metadata/core-properties"/>
    <ds:schemaRef ds:uri="75f42d90-dff7-482a-9625-fcb509741aa9"/>
    <ds:schemaRef ds:uri="http://www.w3.org/XML/1998/namespace"/>
  </ds:schemaRefs>
</ds:datastoreItem>
</file>

<file path=customXml/itemProps3.xml><?xml version="1.0" encoding="utf-8"?>
<ds:datastoreItem xmlns:ds="http://schemas.openxmlformats.org/officeDocument/2006/customXml" ds:itemID="{BBB8C271-2D84-40E2-BF49-8C5802CE069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Current Inventory</vt:lpstr>
      <vt:lpstr>Instructions</vt:lpstr>
      <vt:lpstr>Meal Selector</vt:lpstr>
      <vt:lpstr>Inventory</vt:lpstr>
      <vt:lpstr>Client List</vt:lpstr>
      <vt:lpstr>Volunteers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Alyson Meister</cp:lastModifiedBy>
  <dcterms:modified xsi:type="dcterms:W3CDTF">2025-07-01T21:01:15Z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0x010100CE3EA014A8C76148A614E40E9038C1E9</vt:lpwstr>
  </property>
</Properties>
</file>